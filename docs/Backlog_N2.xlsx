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Distribuição" sheetId="2" state="visible" r:id="rId2"/>
    <sheet name="Cronograma" sheetId="3" state="visible" r:id="rId3"/>
    <sheet name="Regras" sheetId="4" state="visible" r:id="rId4"/>
  </sheets>
  <definedNames>
    <definedName name="_xlnm._FilterDatabase" localSheetId="0" hidden="1">'Backlog'!$A$4:$K$61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166" fontId="6" fillId="0" borderId="1" applyAlignment="1" pivotButton="0" quotePrefix="0" xfId="0">
      <alignment horizontal="center" vertical="top" wrapText="1"/>
    </xf>
    <xf numFmtId="0" fontId="6" fillId="0" borderId="1" pivotButton="0" quotePrefix="0" xfId="0"/>
    <xf numFmtId="165" fontId="4" fillId="4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PrieTorres/correctio-app/issues/37" TargetMode="External" Id="rId1" /><Relationship Type="http://schemas.openxmlformats.org/officeDocument/2006/relationships/hyperlink" Target="https://github.com/PrieTorres/correctio-app/issues/85" TargetMode="External" Id="rId2" /><Relationship Type="http://schemas.openxmlformats.org/officeDocument/2006/relationships/hyperlink" Target="https://github.com/PrieTorres/correctio-app/issues/31" TargetMode="External" Id="rId3" /><Relationship Type="http://schemas.openxmlformats.org/officeDocument/2006/relationships/hyperlink" Target="https://github.com/PrieTorres/correctio-app/issues/36" TargetMode="External" Id="rId4" /><Relationship Type="http://schemas.openxmlformats.org/officeDocument/2006/relationships/hyperlink" Target="https://github.com/PrieTorres/correctio-app/issues/32" TargetMode="External" Id="rId5" /><Relationship Type="http://schemas.openxmlformats.org/officeDocument/2006/relationships/hyperlink" Target="https://github.com/PrieTorres/correctio-app/issues/38" TargetMode="External" Id="rId6" /><Relationship Type="http://schemas.openxmlformats.org/officeDocument/2006/relationships/hyperlink" Target="https://github.com/PrieTorres/correctio-app/issues/83" TargetMode="External" Id="rId7" /><Relationship Type="http://schemas.openxmlformats.org/officeDocument/2006/relationships/hyperlink" Target="https://github.com/PrieTorres/correctio-app/issues/26" TargetMode="External" Id="rId8" /><Relationship Type="http://schemas.openxmlformats.org/officeDocument/2006/relationships/hyperlink" Target="https://github.com/PrieTorres/correctio-app/issues/39" TargetMode="External" Id="rId9" /><Relationship Type="http://schemas.openxmlformats.org/officeDocument/2006/relationships/hyperlink" Target="https://github.com/PrieTorres/correctio-app/issues/40" TargetMode="External" Id="rId10" /><Relationship Type="http://schemas.openxmlformats.org/officeDocument/2006/relationships/hyperlink" Target="https://github.com/PrieTorres/correctio-app/issues/53" TargetMode="External" Id="rId11" /><Relationship Type="http://schemas.openxmlformats.org/officeDocument/2006/relationships/hyperlink" Target="https://github.com/PrieTorres/correctio-app/issues/57" TargetMode="External" Id="rId12" /><Relationship Type="http://schemas.openxmlformats.org/officeDocument/2006/relationships/hyperlink" Target="https://github.com/PrieTorres/correctio-app/issues/61" TargetMode="External" Id="rId13" /><Relationship Type="http://schemas.openxmlformats.org/officeDocument/2006/relationships/hyperlink" Target="https://github.com/PrieTorres/correctio-app/issues/65" TargetMode="External" Id="rId14" /><Relationship Type="http://schemas.openxmlformats.org/officeDocument/2006/relationships/hyperlink" Target="https://github.com/PrieTorres/correctio-app/issues/41" TargetMode="External" Id="rId15" /><Relationship Type="http://schemas.openxmlformats.org/officeDocument/2006/relationships/hyperlink" Target="https://github.com/PrieTorres/correctio-app/issues/70" TargetMode="External" Id="rId16" /><Relationship Type="http://schemas.openxmlformats.org/officeDocument/2006/relationships/hyperlink" Target="https://github.com/PrieTorres/correctio-app/issues/77" TargetMode="External" Id="rId17" /><Relationship Type="http://schemas.openxmlformats.org/officeDocument/2006/relationships/hyperlink" Target="https://github.com/PrieTorres/correctio-app/issues/42" TargetMode="External" Id="rId18" /><Relationship Type="http://schemas.openxmlformats.org/officeDocument/2006/relationships/hyperlink" Target="https://github.com/PrieTorres/correctio-app/issues/43" TargetMode="External" Id="rId19" /><Relationship Type="http://schemas.openxmlformats.org/officeDocument/2006/relationships/hyperlink" Target="https://github.com/PrieTorres/correctio-app/issues/44" TargetMode="External" Id="rId20" /><Relationship Type="http://schemas.openxmlformats.org/officeDocument/2006/relationships/hyperlink" Target="https://github.com/PrieTorres/correctio-app/issues/69" TargetMode="External" Id="rId21" /><Relationship Type="http://schemas.openxmlformats.org/officeDocument/2006/relationships/hyperlink" Target="https://github.com/PrieTorres/correctio-app/issues/84" TargetMode="External" Id="rId22" /><Relationship Type="http://schemas.openxmlformats.org/officeDocument/2006/relationships/hyperlink" Target="https://github.com/PrieTorres/correctio-app/issues/45" TargetMode="External" Id="rId23" /><Relationship Type="http://schemas.openxmlformats.org/officeDocument/2006/relationships/hyperlink" Target="https://github.com/PrieTorres/correctio-app/issues/46" TargetMode="External" Id="rId24" /><Relationship Type="http://schemas.openxmlformats.org/officeDocument/2006/relationships/hyperlink" Target="https://github.com/PrieTorres/correctio-app/issues/62" TargetMode="External" Id="rId25" /><Relationship Type="http://schemas.openxmlformats.org/officeDocument/2006/relationships/hyperlink" Target="https://github.com/PrieTorres/correctio-app/issues/64" TargetMode="External" Id="rId26" /><Relationship Type="http://schemas.openxmlformats.org/officeDocument/2006/relationships/hyperlink" Target="https://github.com/PrieTorres/correctio-app/issues/47" TargetMode="External" Id="rId27" /><Relationship Type="http://schemas.openxmlformats.org/officeDocument/2006/relationships/hyperlink" Target="https://github.com/PrieTorres/correctio-app/issues/58" TargetMode="External" Id="rId28" /><Relationship Type="http://schemas.openxmlformats.org/officeDocument/2006/relationships/hyperlink" Target="https://github.com/PrieTorres/correctio-app/issues/63" TargetMode="External" Id="rId29" /><Relationship Type="http://schemas.openxmlformats.org/officeDocument/2006/relationships/hyperlink" Target="https://github.com/PrieTorres/correctio-app/issues/78" TargetMode="External" Id="rId30" /><Relationship Type="http://schemas.openxmlformats.org/officeDocument/2006/relationships/hyperlink" Target="https://github.com/PrieTorres/correctio-app/issues/28" TargetMode="External" Id="rId31" /><Relationship Type="http://schemas.openxmlformats.org/officeDocument/2006/relationships/hyperlink" Target="https://github.com/PrieTorres/correctio-app/issues/48" TargetMode="External" Id="rId32" /><Relationship Type="http://schemas.openxmlformats.org/officeDocument/2006/relationships/hyperlink" Target="https://github.com/PrieTorres/correctio-app/issues/49" TargetMode="External" Id="rId33" /><Relationship Type="http://schemas.openxmlformats.org/officeDocument/2006/relationships/hyperlink" Target="https://github.com/PrieTorres/correctio-app/issues/59" TargetMode="External" Id="rId34" /><Relationship Type="http://schemas.openxmlformats.org/officeDocument/2006/relationships/hyperlink" Target="https://github.com/PrieTorres/correctio-app/issues/27" TargetMode="External" Id="rId35" /><Relationship Type="http://schemas.openxmlformats.org/officeDocument/2006/relationships/hyperlink" Target="https://github.com/PrieTorres/correctio-app/issues/29" TargetMode="External" Id="rId36" /><Relationship Type="http://schemas.openxmlformats.org/officeDocument/2006/relationships/hyperlink" Target="https://github.com/PrieTorres/correctio-app/issues/50" TargetMode="External" Id="rId37" /><Relationship Type="http://schemas.openxmlformats.org/officeDocument/2006/relationships/hyperlink" Target="https://github.com/PrieTorres/correctio-app/issues/54" TargetMode="External" Id="rId38" /><Relationship Type="http://schemas.openxmlformats.org/officeDocument/2006/relationships/hyperlink" Target="https://github.com/PrieTorres/correctio-app/issues/56" TargetMode="External" Id="rId39" /><Relationship Type="http://schemas.openxmlformats.org/officeDocument/2006/relationships/hyperlink" Target="https://github.com/PrieTorres/correctio-app/issues/71" TargetMode="External" Id="rId40" /><Relationship Type="http://schemas.openxmlformats.org/officeDocument/2006/relationships/hyperlink" Target="https://github.com/PrieTorres/correctio-app/issues/35" TargetMode="External" Id="rId41" /><Relationship Type="http://schemas.openxmlformats.org/officeDocument/2006/relationships/hyperlink" Target="https://github.com/PrieTorres/correctio-app/issues/51" TargetMode="External" Id="rId42" /><Relationship Type="http://schemas.openxmlformats.org/officeDocument/2006/relationships/hyperlink" Target="https://github.com/PrieTorres/correctio-app/issues/52" TargetMode="External" Id="rId43" /><Relationship Type="http://schemas.openxmlformats.org/officeDocument/2006/relationships/hyperlink" Target="https://github.com/PrieTorres/correctio-app/issues/55" TargetMode="External" Id="rId44" /><Relationship Type="http://schemas.openxmlformats.org/officeDocument/2006/relationships/hyperlink" Target="https://github.com/PrieTorres/correctio-app/issues/60" TargetMode="External" Id="rId45" /><Relationship Type="http://schemas.openxmlformats.org/officeDocument/2006/relationships/hyperlink" Target="https://github.com/PrieTorres/correctio-app/issues/66" TargetMode="External" Id="rId46" /><Relationship Type="http://schemas.openxmlformats.org/officeDocument/2006/relationships/hyperlink" Target="https://github.com/PrieTorres/correctio-app/issues/67" TargetMode="External" Id="rId47" /><Relationship Type="http://schemas.openxmlformats.org/officeDocument/2006/relationships/hyperlink" Target="https://github.com/PrieTorres/correctio-app/issues/68" TargetMode="External" Id="rId48" /><Relationship Type="http://schemas.openxmlformats.org/officeDocument/2006/relationships/hyperlink" Target="https://github.com/PrieTorres/correctio-app/issues/79" TargetMode="External" Id="rId49" /><Relationship Type="http://schemas.openxmlformats.org/officeDocument/2006/relationships/hyperlink" Target="https://github.com/PrieTorres/correctio-app/issues/80" TargetMode="External" Id="rId50" /><Relationship Type="http://schemas.openxmlformats.org/officeDocument/2006/relationships/hyperlink" Target="https://github.com/PrieTorres/correctio-app/issues/81" TargetMode="External" Id="rId51" /><Relationship Type="http://schemas.openxmlformats.org/officeDocument/2006/relationships/hyperlink" Target="https://github.com/PrieTorres/correctio-app/issues/82" TargetMode="External" Id="rId52" /><Relationship Type="http://schemas.openxmlformats.org/officeDocument/2006/relationships/hyperlink" Target="https://github.com/PrieTorres/correctio-app/issues/72" TargetMode="External" Id="rId53" /><Relationship Type="http://schemas.openxmlformats.org/officeDocument/2006/relationships/hyperlink" Target="https://github.com/PrieTorres/correctio-app/issues/73" TargetMode="External" Id="rId54" /><Relationship Type="http://schemas.openxmlformats.org/officeDocument/2006/relationships/hyperlink" Target="https://github.com/PrieTorres/correctio-app/issues/74" TargetMode="External" Id="rId55" /><Relationship Type="http://schemas.openxmlformats.org/officeDocument/2006/relationships/hyperlink" Target="https://github.com/PrieTorres/correctio-app/issues/75" TargetMode="External" Id="rId56" /><Relationship Type="http://schemas.openxmlformats.org/officeDocument/2006/relationships/hyperlink" Target="https://github.com/PrieTorres/correctio-app/issues/76" TargetMode="External" Id="rId57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users/PrieTorres/projects/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22" customWidth="1" min="4" max="4"/>
    <col width="18" customWidth="1" min="5" max="5"/>
    <col width="14" customWidth="1" min="6" max="6"/>
    <col width="12" customWidth="1" min="7" max="7"/>
    <col width="22" customWidth="1" min="8" max="8"/>
    <col width="13" customWidth="1" min="9" max="9"/>
    <col width="24" customWidth="1" min="10" max="10"/>
    <col width="70" customWidth="1" min="11" max="11"/>
  </cols>
  <sheetData>
    <row r="1">
      <c r="A1" s="1" t="inlineStr">
        <is>
          <t>Correctio — Backlog da N2</t>
        </is>
      </c>
    </row>
    <row r="2">
      <c r="A2" s="2" t="inlineStr">
        <is>
          <t>Entrega da N2: 23/10/2026 · 57 tarefas · fonte: issues do GitHub e Project 4 · retrato de 09/10/2026</t>
        </is>
      </c>
    </row>
    <row r="4" ht="30" customHeight="1">
      <c r="A4" s="3" t="inlineStr">
        <is>
          <t>Issue</t>
        </is>
      </c>
      <c r="B4" s="3" t="inlineStr">
        <is>
          <t>Tarefa</t>
        </is>
      </c>
      <c r="C4" s="3" t="inlineStr">
        <is>
          <t>Tipo</t>
        </is>
      </c>
      <c r="D4" s="3" t="inlineStr">
        <is>
          <t>Frente</t>
        </is>
      </c>
      <c r="E4" s="3" t="inlineStr">
        <is>
          <t>Responsável</t>
        </is>
      </c>
      <c r="F4" s="3" t="inlineStr">
        <is>
          <t>GitHub</t>
        </is>
      </c>
      <c r="G4" s="3" t="inlineStr">
        <is>
          <t>Prazo</t>
        </is>
      </c>
      <c r="H4" s="3" t="inlineStr">
        <is>
          <t>Depende de</t>
        </is>
      </c>
      <c r="I4" s="3" t="inlineStr">
        <is>
          <t>Status</t>
        </is>
      </c>
      <c r="J4" s="3" t="inlineStr">
        <is>
          <t>Origem</t>
        </is>
      </c>
      <c r="K4" s="3" t="inlineStr">
        <is>
          <t>Critério de pronto (checklist da issue)</t>
        </is>
      </c>
    </row>
    <row r="5" ht="82" customHeight="1">
      <c r="A5" s="4" t="inlineStr">
        <is>
          <t>#37</t>
        </is>
      </c>
      <c r="B5" s="5" t="inlineStr">
        <is>
          <t>chore: set up delivery rules, templates and ruleset</t>
        </is>
      </c>
      <c r="C5" s="5" t="inlineStr">
        <is>
          <t>Processo</t>
        </is>
      </c>
      <c r="D5" s="5" t="inlineStr">
        <is>
          <t>Processo e escopo</t>
        </is>
      </c>
      <c r="E5" s="5" t="inlineStr">
        <is>
          <t>Priscila Torres</t>
        </is>
      </c>
      <c r="F5" s="5" t="inlineStr">
        <is>
          <t>PrieTorres</t>
        </is>
      </c>
      <c r="G5" s="6" t="n">
        <v>46304</v>
      </c>
      <c r="H5" s="5" t="inlineStr">
        <is>
          <t>—</t>
        </is>
      </c>
      <c r="I5" s="5" t="inlineStr">
        <is>
          <t>Em andamento</t>
        </is>
      </c>
      <c r="J5" s="5" t="inlineStr">
        <is>
          <t>Plano da N2</t>
        </is>
      </c>
      <c r="K5" s="5" t="inlineStr">
        <is>
          <t>• Templates de issue (task, bug, ux) e de PR no main
• CODEOWNERS e ruleset do main ativos
• Workflows Delivery rules e Completion guard rodando
• Workflows do Project configurados: Item added to project → To do, Item reopened → In progress, Code changes requested → In progress
• Equipe avisada do fluxo
• Evidência (link, print ou vídeo) anexada na issue</t>
        </is>
      </c>
    </row>
    <row r="6" ht="56" customHeight="1">
      <c r="A6" s="4" t="inlineStr">
        <is>
          <t>#85</t>
        </is>
      </c>
      <c r="B6" s="5" t="inlineStr">
        <is>
          <t>docs: N2 backlog plan as a spreadsheet and a docs page</t>
        </is>
      </c>
      <c r="C6" s="5" t="inlineStr">
        <is>
          <t>Processo</t>
        </is>
      </c>
      <c r="D6" s="5" t="inlineStr">
        <is>
          <t>Processo e escopo</t>
        </is>
      </c>
      <c r="E6" s="5" t="inlineStr">
        <is>
          <t>Priscila Torres</t>
        </is>
      </c>
      <c r="F6" s="5" t="inlineStr">
        <is>
          <t>PrieTorres</t>
        </is>
      </c>
      <c r="G6" s="6" t="n">
        <v>46304</v>
      </c>
      <c r="H6" s="5" t="inlineStr">
        <is>
          <t>—</t>
        </is>
      </c>
      <c r="I6" s="5" t="inlineStr">
        <is>
          <t>Concluída</t>
        </is>
      </c>
      <c r="J6" s="5" t="inlineStr">
        <is>
          <t>Atividade de planejamento da N2</t>
        </is>
      </c>
      <c r="K6" s="5" t="inlineStr">
        <is>
          <t>• Planilha com o backlog, o responsável e o prazo de cada tarefa
• Distribuição por integrante, com todos aparecendo e a carga equilibrada
• `docs/Backlog_N2.xlsx` e `docs/Backlog_N2.md` no repositório, com link no README
• Planilha entregue na atividade</t>
        </is>
      </c>
    </row>
    <row r="7" ht="160" customHeight="1">
      <c r="A7" s="4" t="inlineStr">
        <is>
          <t>#31</t>
        </is>
      </c>
      <c r="B7" s="5" t="inlineStr">
        <is>
          <t>montar backend voltado para banco de dados produtivo</t>
        </is>
      </c>
      <c r="C7" s="5" t="inlineStr">
        <is>
          <t>Desenvolvimento</t>
        </is>
      </c>
      <c r="D7" s="5" t="inlineStr">
        <is>
          <t>Infraestrutura e API</t>
        </is>
      </c>
      <c r="E7" s="5" t="inlineStr">
        <is>
          <t>Priscila Torres</t>
        </is>
      </c>
      <c r="F7" s="5" t="inlineStr">
        <is>
          <t>PrieTorres</t>
        </is>
      </c>
      <c r="G7" s="6" t="n">
        <v>46305</v>
      </c>
      <c r="H7" s="5" t="inlineStr">
        <is>
          <t>—</t>
        </is>
      </c>
      <c r="I7" s="5" t="inlineStr">
        <is>
          <t>A fazer</t>
        </is>
      </c>
      <c r="J7" s="5" t="inlineStr">
        <is>
          <t>Issue já existente</t>
        </is>
      </c>
      <c r="K7" s="5" t="inlineStr">
        <is>
          <t>• Express + TypeScript em `apps/api`, em camadas: rota → controle → serviço → repositório → model, uma pasta por camada
• `apps/api` é um workspace (`@correctio/api`) e `npm run lint`, `npm run typecheck`, `npm test` e `npm run build` da raiz rodam front e API
• `GET /health` responde 200 sem login, passando por rota, controle e serviço
• Erro no formato `{ code, message }` com os códigos do `StorageError` (`not-found`, `invalid`, `conflict`, `failure`), mais `unauthorized` (401) e `too-many-requests` (429); erro desconhecido sem stack trace
• Paginação no mesmo formato que o front já espera em `apps/web/src/lib/repositories`: `{ items, total }`, `page` e `pageSize` com padrão 1 e 50, `pageSize` acima do teto responde 400
• `requireAuth` fechado por padrão: rota protegida sem token responde 401
• A API valida com os schemas Zod do front, sem cópia
• CORS só para as origens de `CORS_ORIGINS`; `helmet` e limite de 100 KB no JSON
• Lint com as mesmas regras de comentário do front, tipos e testes (supertest) rodando no CI
• `apps/api/README.md` explica como rodar localmente e as convenções da API, incluindo onde divergem da Spec
• Testes automatizados do caso principal: health, rota inexistente, 401 sem token, formato de erro, paginação e CORS
• Vídeo do teste anexado no PR</t>
        </is>
      </c>
    </row>
    <row r="8" ht="95" customHeight="1">
      <c r="A8" s="4" t="inlineStr">
        <is>
          <t>#36</t>
        </is>
      </c>
      <c r="B8" s="5" t="inlineStr">
        <is>
          <t>fix: clear high and critical npm audit findings</t>
        </is>
      </c>
      <c r="C8" s="5" t="inlineStr">
        <is>
          <t>Infraestrutura</t>
        </is>
      </c>
      <c r="D8" s="5" t="inlineStr">
        <is>
          <t>Infraestrutura e API</t>
        </is>
      </c>
      <c r="E8" s="5" t="inlineStr">
        <is>
          <t>Priscila Torres</t>
        </is>
      </c>
      <c r="F8" s="5" t="inlineStr">
        <is>
          <t>PrieTorres</t>
        </is>
      </c>
      <c r="G8" s="6" t="n">
        <v>46305</v>
      </c>
      <c r="H8" s="5" t="inlineStr">
        <is>
          <t>—</t>
        </is>
      </c>
      <c r="I8" s="5" t="inlineStr">
        <is>
          <t>A fazer</t>
        </is>
      </c>
      <c r="J8" s="5" t="inlineStr">
        <is>
          <t>Ajuste pendente (portão vermelho na main)</t>
        </is>
      </c>
      <c r="K8" s="5" t="inlineStr">
        <is>
          <t>• `vitest` e `@vitest/coverage-v8` na 5.x, na mesma versão (corrige `tinypool` e `@vitest/mocker`)
• `npm audit fix` para `brace-expansion` e `source-map-js` (e `joi`, que sai junto)
• `npm audit --audit-level=high` passa, sem vulnerabilidade alta nem crítica
• Cobertura continua em 80% ou mais com as mesmas exclusões, e o percentual antes e depois está na descrição do PR
• Lint, tipos, testes, build e Cypress verdes no PR, que é o mesmo portão que roda para a `main`
• Versão do Vitest atualizada na seção 7 do `readme.md`
• Evidência (link, print ou vídeo) anexada na issue</t>
        </is>
      </c>
    </row>
    <row r="9" ht="147" customHeight="1">
      <c r="A9" s="4" t="inlineStr">
        <is>
          <t>#32</t>
        </is>
      </c>
      <c r="B9" s="5" t="inlineStr">
        <is>
          <t>criar banco de dados mysql e conectar ao projeto com envs e cadastrar envs no repo</t>
        </is>
      </c>
      <c r="C9" s="5" t="inlineStr">
        <is>
          <t>Infraestrutura</t>
        </is>
      </c>
      <c r="D9" s="5" t="inlineStr">
        <is>
          <t>Infraestrutura e API</t>
        </is>
      </c>
      <c r="E9" s="5" t="inlineStr">
        <is>
          <t>Priscila Torres</t>
        </is>
      </c>
      <c r="F9" s="5" t="inlineStr">
        <is>
          <t>PrieTorres</t>
        </is>
      </c>
      <c r="G9" s="6" t="n">
        <v>46306</v>
      </c>
      <c r="H9" s="5" t="inlineStr">
        <is>
          <t>#31</t>
        </is>
      </c>
      <c r="I9" s="5" t="inlineStr">
        <is>
          <t>A fazer</t>
        </is>
      </c>
      <c r="J9" s="5" t="inlineStr">
        <is>
          <t>Issue já existente</t>
        </is>
      </c>
      <c r="K9" s="5" t="inlineStr">
        <is>
          <t>• MySQL hospedado, acessível pela API, com as credenciais só nos secrets do repositório e nas variáveis do host
• Migrations de todas as entidades do `docs/Modelo_de_Dados.md`, sem renomear chaves da Spec, incluindo `class_enrollments`, `exam_assignments`, `refresh_tokens`, `students.userId`, `classes.inviteCode`, `clientCorrectionId` e `syncStatus`
• Colunas com o nome exato do campo do contrato e enums com os valores exatos
• Soft delete: cada entidade arquiva pelo próprio campo (`deletedAt` ou `status`) e nenhuma chave estrangeira apaga em cascata
• Auditoria: `createdAt`/`updatedAt` nas tabelas e tabela `activity_logs` (log geral), sem conteúdo de dado pessoal
• Acréscimos do grupo registrados em `docs/Modelo_de_Dados.md`, marcados com `+`: `Student.removedAt`, `Question.createdAt` e a entidade `ActivityLog`
• `.env.example` documentado e MySQL local descrito no `apps/api/README.md`
• Migrations aplicam, desfazem e reaplicam num banco vazio
• `GET /health` responde 503 quando o banco está fora
• Testes automatizados do caso principal, incluindo o que confere as colunas contra o contrato
• Vídeo do teste anexado no PR</t>
        </is>
      </c>
    </row>
    <row r="10" ht="134" customHeight="1">
      <c r="A10" s="4" t="inlineStr">
        <is>
          <t>#38</t>
        </is>
      </c>
      <c r="B10" s="5" t="inlineStr">
        <is>
          <t>feat(web): HTTP repository adapter replacing localStorage</t>
        </is>
      </c>
      <c r="C10" s="5" t="inlineStr">
        <is>
          <t>Desenvolvimento</t>
        </is>
      </c>
      <c r="D10" s="5" t="inlineStr">
        <is>
          <t>Infraestrutura e API</t>
        </is>
      </c>
      <c r="E10" s="5" t="inlineStr">
        <is>
          <t>Priscila Torres</t>
        </is>
      </c>
      <c r="F10" s="5" t="inlineStr">
        <is>
          <t>PrieTorres</t>
        </is>
      </c>
      <c r="G10" s="6" t="n">
        <v>46307</v>
      </c>
      <c r="H10" s="5" t="inlineStr">
        <is>
          <t>#31</t>
        </is>
      </c>
      <c r="I10" s="5" t="inlineStr">
        <is>
          <t>A fazer</t>
        </is>
      </c>
      <c r="J10" s="5" t="inlineStr">
        <is>
          <t>Plano da N2</t>
        </is>
      </c>
      <c r="K10" s="5" t="inlineStr">
        <is>
          <t>• Implementa a interface de `lib/repositories` sem mudar telas: repositório HTTP genérico cumpre o `OwnedRepository` de `types.ts`
• Token enviado como `Authorization: Bearer`, vindo de uma função injetada; 401 chama `onUnauthorized`
• Erros convertidos em `StorageError` com o `code` e a mensagem do servidor; 404 no `getById` devolve `null`
• Paginação: `ListParams` vira query string e `{ items, total }` vira `Page&lt;T&gt;`
• URL da API por variável de ambiente (`VITE_API_URL`), tipada e documentada em `apps/web/.env.example`
• Resposta validada pelos schemas de `lib/schemas`, sem descartar campo desconhecido
• `update` envia só os campos recebidos e nenhum pedido envia `teacherId`
• A fábrica continua devolvendo os repositórios locais: o site publicado não muda com esta tarefa
• Testes automatizados do caso principal, com `fetch` simulado: query string, cabeçalho de token, cada linha da tabela de erros, `null` no 404 e campo desconhecido preservado
• Vídeo do teste anexado no PR</t>
        </is>
      </c>
    </row>
    <row r="11" ht="69" customHeight="1">
      <c r="A11" s="4" t="inlineStr">
        <is>
          <t>#83</t>
        </is>
      </c>
      <c r="B11" s="5" t="inlineStr">
        <is>
          <t>po: settle the open decisions with the professor (Firebase Auth, A/B/C versions)</t>
        </is>
      </c>
      <c r="C11" s="5" t="inlineStr">
        <is>
          <t>Validação de escopo</t>
        </is>
      </c>
      <c r="D11" s="5" t="inlineStr">
        <is>
          <t>Processo e escopo</t>
        </is>
      </c>
      <c r="E11" s="5" t="inlineStr">
        <is>
          <t>Heloísa Fogaça</t>
        </is>
      </c>
      <c r="F11" s="5" t="inlineStr">
        <is>
          <t>heloisaFogaca</t>
        </is>
      </c>
      <c r="G11" s="6" t="n">
        <v>46307</v>
      </c>
      <c r="H11" s="5" t="inlineStr">
        <is>
          <t>—</t>
        </is>
      </c>
      <c r="I11" s="5" t="inlineStr">
        <is>
          <t>A fazer</t>
        </is>
      </c>
      <c r="J11" s="5" t="inlineStr">
        <is>
          <t>Pendência do README (professora)</t>
        </is>
      </c>
      <c r="K11" s="5" t="inlineStr">
        <is>
          <t>• Firebase Auth no lugar dos endpoints `/auth` da Spec: decisão registrada, antes da #40 começar
• Versionamento A/B/C de questões (provas realmente diferentes por aluno): entra ou não no escopo
• Respostas registradas no README e em `docs/` (requisitos, arquitetura e, se mudar, segurança)
• Decisão comentada na #40, na #45 e na #84
• Evidência (link, print ou vídeo) anexada na issue</t>
        </is>
      </c>
    </row>
    <row r="12" ht="95" customHeight="1">
      <c r="A12" s="4" t="inlineStr">
        <is>
          <t>#26</t>
        </is>
      </c>
      <c r="B12" s="5" t="inlineStr">
        <is>
          <t>diagrama de caso de uso</t>
        </is>
      </c>
      <c r="C12" s="5" t="inlineStr">
        <is>
          <t>Documentação</t>
        </is>
      </c>
      <c r="D12" s="5" t="inlineStr">
        <is>
          <t>Documentação</t>
        </is>
      </c>
      <c r="E12" s="5" t="inlineStr">
        <is>
          <t>Heloísa Fogaça</t>
        </is>
      </c>
      <c r="F12" s="5" t="inlineStr">
        <is>
          <t>heloisaFogaca</t>
        </is>
      </c>
      <c r="G12" s="6" t="n">
        <v>46308</v>
      </c>
      <c r="H12" s="5" t="inlineStr">
        <is>
          <t>#36</t>
        </is>
      </c>
      <c r="I12" s="5" t="inlineStr">
        <is>
          <t>Em andamento</t>
        </is>
      </c>
      <c r="J12" s="5" t="inlineStr">
        <is>
          <t>Issue já existente</t>
        </is>
      </c>
      <c r="K12" s="5" t="inlineStr">
        <is>
          <t>• PR #30 atualizado com a `main`, depois da correção do `npm audit` lá (#36)
• `docs/uml/use_case_diagram/01_Diagrama_de_Caso_de_Uso.md` renomeado para inglês (ex.: `docs/uml/use-case-diagram.md`), com as imagens aparecendo no GitHub
• Prints do passo a passo da construção (uma imagem por etapa) no PR, em `docs/uml/`
• Corpo do PR #30 com o template, `Closes #26` e label `docs`
• Título do PR no formato `docs: ...`
• Check *Lint, tipos, testes e build* verde no PR #30
• Evidência (link, print ou vídeo) anexada na issue</t>
        </is>
      </c>
    </row>
    <row r="13" ht="160" customHeight="1">
      <c r="A13" s="4" t="inlineStr">
        <is>
          <t>#39</t>
        </is>
      </c>
      <c r="B13" s="5" t="inlineStr">
        <is>
          <t>ci: run API tests and migrations, deploy the API</t>
        </is>
      </c>
      <c r="C13" s="5" t="inlineStr">
        <is>
          <t>Infraestrutura</t>
        </is>
      </c>
      <c r="D13" s="5" t="inlineStr">
        <is>
          <t>Infraestrutura e API</t>
        </is>
      </c>
      <c r="E13" s="5" t="inlineStr">
        <is>
          <t>Priscila Torres</t>
        </is>
      </c>
      <c r="F13" s="5" t="inlineStr">
        <is>
          <t>PrieTorres</t>
        </is>
      </c>
      <c r="G13" s="6" t="n">
        <v>46308</v>
      </c>
      <c r="H13" s="5" t="inlineStr">
        <is>
          <t>#31, #32</t>
        </is>
      </c>
      <c r="I13" s="5" t="inlineStr">
        <is>
          <t>A fazer</t>
        </is>
      </c>
      <c r="J13" s="5" t="inlineStr">
        <is>
          <t>Plano da N2</t>
        </is>
      </c>
      <c r="K13" s="5" t="inlineStr">
        <is>
          <t>• Testes da API em todo PR, com MySQL de teste no CI
• Migrations aplicadas num banco vazio em todo PR, antes dos testes
• `checks.yml`, `release.yml` e o job `sonar` continuam verdes com os testes que usam banco
• SonarCloud analisa `apps/api/src` e recebe a cobertura da API
• Job Cypress sobe API e MySQL e builda o front apontando para eles
• Migrations aplicadas no deploy, antes da versão nova entrar no ar
• API publicada com URL fixa, em HTTPS, e `GET /health` conferido ao fim de cada deploy
• CORS da API publicada aceita `https://prietorres.github.io` e recusa outras origens
• `deploy.yml` builda o front com `VITE_API_URL` vindo da variável do repositório
• `docs/CI_CD.md` atualizado com os novos passos, *secrets* e variáveis
• Credenciais do provedor de e-mail, usado pela recuperação de senha da #40, guardadas como *secret* e passadas à API publicada, nunca no código
• Evidência (link, print ou vídeo) anexada na issue</t>
        </is>
      </c>
    </row>
    <row r="14" ht="160" customHeight="1">
      <c r="A14" s="4" t="inlineStr">
        <is>
          <t>#40</t>
        </is>
      </c>
      <c r="B14" s="5" t="inlineStr">
        <is>
          <t>feat: authentication end to end (register, sign-in, refresh, sign-out)</t>
        </is>
      </c>
      <c r="C14" s="5" t="inlineStr">
        <is>
          <t>Desenvolvimento</t>
        </is>
      </c>
      <c r="D14" s="5" t="inlineStr">
        <is>
          <t>Acesso e consulta pública</t>
        </is>
      </c>
      <c r="E14" s="5" t="inlineStr">
        <is>
          <t>Heloísa Fogaça</t>
        </is>
      </c>
      <c r="F14" s="5" t="inlineStr">
        <is>
          <t>heloisaFogaca</t>
        </is>
      </c>
      <c r="G14" s="6" t="n">
        <v>46308</v>
      </c>
      <c r="H14" s="5" t="inlineStr">
        <is>
          <t>#31, #32, #38, #83</t>
        </is>
      </c>
      <c r="I14" s="5" t="inlineStr">
        <is>
          <t>A fazer</t>
        </is>
      </c>
      <c r="J14" s="5" t="inlineStr">
        <is>
          <t>Plano da N2</t>
        </is>
      </c>
      <c r="K14" s="5" t="inlineStr">
        <is>
          <t>• Senha gravada só como hash (bcrypt ou argon2) em `passwordHash`, que nunca sai na resposta da API
• Rate limit no login: bloqueio após 5 falhas em 15 minutos, com 429 e `Retry-After`, e a tela de login avisa
• Cadastro exige senha de no mínimo 8 caracteres, no front e na API, e recusa e-mail já cadastrado
• RefreshToken persistido só como `tokenHash`, renovado a cada refresh e revogável: `logout` revoga o do dispositivo, `logout-all` revoga todos
• Telas de login, cadastro e recuperação de senha usam a API
• Rotas privadas redirecionam para `/entrar` sem sessão
• Sair limpa o cache, e outro professor no mesmo navegador não vê dado do anterior
• E-mail de recuperação de senha enviado de verdade, com a mesma resposta para e-mail com e sem conta
• O link do e-mail abre a etapa de nova senha, vale uma vez só e expira
• Testes com supertest para cadastro, e-mail duplicado, login certo e errado, bloqueio, refresh, logout, logout de todos e recuperação com e sem conta
• Testes automatizados do caso principal
• Vídeo do teste anexado no PR</t>
        </is>
      </c>
    </row>
    <row r="15" ht="82" customHeight="1">
      <c r="A15" s="4" t="inlineStr">
        <is>
          <t>#53</t>
        </is>
      </c>
      <c r="B15" s="5" t="inlineStr">
        <is>
          <t>ux: review access and public lookup screens</t>
        </is>
      </c>
      <c r="C15" s="5" t="inlineStr">
        <is>
          <t>UX</t>
        </is>
      </c>
      <c r="D15" s="5" t="inlineStr">
        <is>
          <t>Acesso e consulta pública</t>
        </is>
      </c>
      <c r="E15" s="5" t="inlineStr">
        <is>
          <t>Heloísa Fogaça</t>
        </is>
      </c>
      <c r="F15" s="5" t="inlineStr">
        <is>
          <t>heloisaFogaca</t>
        </is>
      </c>
      <c r="G15" s="6" t="n">
        <v>46308</v>
      </c>
      <c r="H15" s="5" t="inlineStr">
        <is>
          <t>—</t>
        </is>
      </c>
      <c r="I15" s="5" t="inlineStr">
        <is>
          <t>A fazer</t>
        </is>
      </c>
      <c r="J15" s="5" t="inlineStr">
        <is>
          <t>Plano da N2</t>
        </is>
      </c>
      <c r="K15" s="5" t="inlineStr">
        <is>
          <t>• Usar as telas (login, cadastro, recuperar senha, consulta por QR, privacidade) na versão publicada como professor faria, e a consulta por QR como o aluno, no celular
• Navegação só por teclado e largura de 360 px conferidas nas cinco telas
• Abrir uma issue UX suggestion por melhoria, com print
• Priorizar as sugestões por impacto, com a lista ordenada em comentário nesta issue
• Registrar a sessão de uso no diário
• Evidência (link, print ou vídeo) anexada na issue</t>
        </is>
      </c>
    </row>
    <row r="16" ht="95" customHeight="1">
      <c r="A16" s="4" t="inlineStr">
        <is>
          <t>#57</t>
        </is>
      </c>
      <c r="B16" s="5" t="inlineStr">
        <is>
          <t>ux: review classes and applications screens</t>
        </is>
      </c>
      <c r="C16" s="5" t="inlineStr">
        <is>
          <t>UX</t>
        </is>
      </c>
      <c r="D16" s="5" t="inlineStr">
        <is>
          <t>Turmas e aplicações</t>
        </is>
      </c>
      <c r="E16" s="5" t="inlineStr">
        <is>
          <t>Jeliel Nunes</t>
        </is>
      </c>
      <c r="F16" s="5" t="inlineStr">
        <is>
          <t>Jeliell</t>
        </is>
      </c>
      <c r="G16" s="6" t="n">
        <v>46308</v>
      </c>
      <c r="H16" s="5" t="inlineStr">
        <is>
          <t>—</t>
        </is>
      </c>
      <c r="I16" s="5" t="inlineStr">
        <is>
          <t>A fazer</t>
        </is>
      </c>
      <c r="J16" s="5" t="inlineStr">
        <is>
          <t>Plano da N2</t>
        </is>
      </c>
      <c r="K16" s="5" t="inlineStr">
        <is>
          <t>• Usar as telas (turmas, alunos, importação, aplicações, PDF) na versão publicada como professor faria
• Testar em 360 px de largura e só com o teclado
• Conferir P3, P5, P11, P12, P13 e P14 contra a seção 8.4 da especificação
• Abrir uma issue UX suggestion por melhoria, com print
• Priorizar as sugestões por impacto, com a lista ordenada num comentário desta issue
• Registrar a sessão de uso no diário
• Evidência (link, print ou vídeo) anexada na issue</t>
        </is>
      </c>
    </row>
    <row r="17" ht="95" customHeight="1">
      <c r="A17" s="4" t="inlineStr">
        <is>
          <t>#61</t>
        </is>
      </c>
      <c r="B17" s="5" t="inlineStr">
        <is>
          <t>ux: review question bank and exams screens</t>
        </is>
      </c>
      <c r="C17" s="5" t="inlineStr">
        <is>
          <t>UX</t>
        </is>
      </c>
      <c r="D17" s="5" t="inlineStr">
        <is>
          <t>Questões e provas</t>
        </is>
      </c>
      <c r="E17" s="5" t="inlineStr">
        <is>
          <t>Cleberson Maia</t>
        </is>
      </c>
      <c r="F17" s="5" t="inlineStr">
        <is>
          <t>maia202</t>
        </is>
      </c>
      <c r="G17" s="6" t="n">
        <v>46308</v>
      </c>
      <c r="H17" s="5" t="inlineStr">
        <is>
          <t>— (revisa a versão publicada da N1, que já existe)</t>
        </is>
      </c>
      <c r="I17" s="5" t="inlineStr">
        <is>
          <t>A fazer</t>
        </is>
      </c>
      <c r="J17" s="5" t="inlineStr">
        <is>
          <t>Plano da N2</t>
        </is>
      </c>
      <c r="K17" s="5" t="inlineStr">
        <is>
          <t>• Usar as telas (banco de questões, provas, geração automática) na versão publicada como professor faria
• Conferir as telas P6, P7, P8, P9, P9b e P10 contra a especificação da seção 8.4
• Repetir o uso em 360 px e só com teclado
• Abrir uma issue UX suggestion por melhoria, com print
• Priorizar as sugestões por impacto, em comentário nesta issue com o link de cada uma
• Registrar a sessão de uso no diário
• Evidência (link, print ou vídeo) anexada na issue</t>
        </is>
      </c>
    </row>
    <row r="18" ht="69" customHeight="1">
      <c r="A18" s="4" t="inlineStr">
        <is>
          <t>#65</t>
        </is>
      </c>
      <c r="B18" s="5" t="inlineStr">
        <is>
          <t>ux: review grading, dashboard and reports screens</t>
        </is>
      </c>
      <c r="C18" s="5" t="inlineStr">
        <is>
          <t>UX</t>
        </is>
      </c>
      <c r="D18" s="5" t="inlineStr">
        <is>
          <t>Correção, painel e relatórios</t>
        </is>
      </c>
      <c r="E18" s="5" t="inlineStr">
        <is>
          <t>Fabricio da Silva</t>
        </is>
      </c>
      <c r="F18" s="5" t="inlineStr">
        <is>
          <t>fabriciojrr</t>
        </is>
      </c>
      <c r="G18" s="6" t="n">
        <v>46308</v>
      </c>
      <c r="H18" s="5" t="inlineStr">
        <is>
          <t>—</t>
        </is>
      </c>
      <c r="I18" s="5" t="inlineStr">
        <is>
          <t>A fazer</t>
        </is>
      </c>
      <c r="J18" s="5" t="inlineStr">
        <is>
          <t>Plano da N2</t>
        </is>
      </c>
      <c r="K18" s="5" t="inlineStr">
        <is>
          <t>• Usar as telas (correção, revisão, pendentes, painel, relatórios, perfil) na versão publicada como professor faria, no celular e no computador
• Abrir uma issue UX suggestion por melhoria, com print
• Priorizar as sugestões por impacto, com o campo "Impacto" preenchido e a lista ordenada nesta issue
• Registrar a sessão de uso no diário
• Evidência (link, print ou vídeo) anexada na issue</t>
        </is>
      </c>
    </row>
    <row r="19" ht="147" customHeight="1">
      <c r="A19" s="4" t="inlineStr">
        <is>
          <t>#41</t>
        </is>
      </c>
      <c r="B19" s="5" t="inlineStr">
        <is>
          <t>feat(api): classes and students CRUD</t>
        </is>
      </c>
      <c r="C19" s="5" t="inlineStr">
        <is>
          <t>Desenvolvimento</t>
        </is>
      </c>
      <c r="D19" s="5" t="inlineStr">
        <is>
          <t>Turmas e aplicações</t>
        </is>
      </c>
      <c r="E19" s="5" t="inlineStr">
        <is>
          <t>Jeliel Nunes</t>
        </is>
      </c>
      <c r="F19" s="5" t="inlineStr">
        <is>
          <t>Jeliell</t>
        </is>
      </c>
      <c r="G19" s="6" t="n">
        <v>46309</v>
      </c>
      <c r="H19" s="5" t="inlineStr">
        <is>
          <t>#31, #32, #40</t>
        </is>
      </c>
      <c r="I19" s="5" t="inlineStr">
        <is>
          <t>A fazer</t>
        </is>
      </c>
      <c r="J19" s="5" t="inlineStr">
        <is>
          <t>Plano da N2</t>
        </is>
      </c>
      <c r="K19" s="5" t="inlineStr">
        <is>
          <t>• Criar/listar/editar/excluir (soft delete) turmas: as 6 rotas de turma respondem, e todas exigem login
• Rotas de aluno respondem e exigem login: listar por turma, cadastrar, importar em lote, editar, remover e anonimizar
• Excluir não apaga nada do banco: arquivar turma muda `status` para `"archived"`, restaurar volta para `"active"`, e remover aluno preenche `removedAt` e mantém a linha (RF09)
• Dados isolados por professor dono: turma ou aluno de outro professor responde 404 em todas as rotas, inclusive remover e anonimizar (teste com dois professores)
• Atualização é mesclagem: o PATCH não apaga campo que não foi enviado (`inviteCode`, `status`, `userId`)
• Turma repetida (mesmo nome e período, sem diferenciar acento e caixa) e matrícula repetida na mesma turma respondem 409
• `inviteCode` é gerado pelo servidor na criação e é único
• A importação grava as linhas novas e responde quantas entraram e quantas foram ignoradas
• Anonimizar apaga nome, matrícula e e-mail e mantém o registro (RF38)
• Testes automatizados do caso principal: supertest para criar, listar com busca, editar, arquivar, restaurar, cadastrar, importar, remover e anonimizar aluno, e acesso de outro professor
• Vídeo do teste anexado no PR (chamando as rotas pelo Postman ou Insomnia, ou rodando os testes)</t>
        </is>
      </c>
    </row>
    <row r="20" ht="82" customHeight="1">
      <c r="A20" s="4" t="inlineStr">
        <is>
          <t>#70</t>
        </is>
      </c>
      <c r="B20" s="5" t="inlineStr">
        <is>
          <t>docs: ER diagram (MER/DER) for README v2</t>
        </is>
      </c>
      <c r="C20" s="5" t="inlineStr">
        <is>
          <t>Documentação</t>
        </is>
      </c>
      <c r="D20" s="5" t="inlineStr">
        <is>
          <t>Documentação</t>
        </is>
      </c>
      <c r="E20" s="5" t="inlineStr">
        <is>
          <t>Fabricio da Silva</t>
        </is>
      </c>
      <c r="F20" s="5" t="inlineStr">
        <is>
          <t>fabriciojrr</t>
        </is>
      </c>
      <c r="G20" s="6" t="n">
        <v>46309</v>
      </c>
      <c r="H20" s="5" t="inlineStr">
        <is>
          <t>#32</t>
        </is>
      </c>
      <c r="I20" s="5" t="inlineStr">
        <is>
          <t>A fazer</t>
        </is>
      </c>
      <c r="J20" s="5" t="inlineStr">
        <is>
          <t>Plano da N2</t>
        </is>
      </c>
      <c r="K20" s="5" t="inlineStr">
        <is>
          <t>• DER gerado a partir das migrations (#32)
• Imagem do DER em `docs/data-model/` (a pasta `docs/modelo-dados/` do modelo da disciplina, com nome em inglês)
• Imagem em `docs/` e exibida no README
• Todas as tabelas das migrations aparecem, inclusive as reservadas para escopo futuro
• Dicionário de dados: uma tabela por entidade, com campo, tipo e descrição
• Evidência (link, print ou vídeo) anexada na issue</t>
        </is>
      </c>
    </row>
    <row r="21" ht="108" customHeight="1">
      <c r="A21" s="4" t="inlineStr">
        <is>
          <t>#77</t>
        </is>
      </c>
      <c r="B21" s="5" t="inlineStr">
        <is>
          <t>fix(web): send "Corrigir folhas" on the dashboard to grading</t>
        </is>
      </c>
      <c r="C21" s="5" t="inlineStr">
        <is>
          <t>Desenvolvimento</t>
        </is>
      </c>
      <c r="D21" s="5" t="inlineStr">
        <is>
          <t>Correção, painel e relatórios</t>
        </is>
      </c>
      <c r="E21" s="5" t="inlineStr">
        <is>
          <t>Fabricio da Silva</t>
        </is>
      </c>
      <c r="F21" s="5" t="inlineStr">
        <is>
          <t>fabriciojrr</t>
        </is>
      </c>
      <c r="G21" s="6" t="n">
        <v>46309</v>
      </c>
      <c r="H21" s="5" t="inlineStr">
        <is>
          <t>—</t>
        </is>
      </c>
      <c r="I21" s="5" t="inlineStr">
        <is>
          <t>A fazer</t>
        </is>
      </c>
      <c r="J21" s="5" t="inlineStr">
        <is>
          <t>Feedback da N1</t>
        </is>
      </c>
      <c r="K21" s="5" t="inlineStr">
        <is>
          <t>• "Corrigir folhas" no painel leva à tela de envio de folhas (P15), e não à lista de aplicações
• Com mais de uma aplicação gerada, o professor escolhe a aplicação antes de enviar
• Sem aplicação gerada, a tela explica o que fazer
• O tour do painel continua apontando para o botão certo
• A P1 em `docs/Correctio_Requisitos_e_Telas.md` descreve o caminho novo
• Cenário no Cypress do painel até a tela de correção, com uma, várias e nenhuma aplicação gerada
• Testes automatizados do caso principal
• Vídeo do teste anexado no PR</t>
        </is>
      </c>
    </row>
    <row r="22" ht="134" customHeight="1">
      <c r="A22" s="4" t="inlineStr">
        <is>
          <t>#42</t>
        </is>
      </c>
      <c r="B22" s="5" t="inlineStr">
        <is>
          <t>feat(web): class and student screens on the API, including bulk import</t>
        </is>
      </c>
      <c r="C22" s="5" t="inlineStr">
        <is>
          <t>Desenvolvimento</t>
        </is>
      </c>
      <c r="D22" s="5" t="inlineStr">
        <is>
          <t>Turmas e aplicações</t>
        </is>
      </c>
      <c r="E22" s="5" t="inlineStr">
        <is>
          <t>Jeliel Nunes</t>
        </is>
      </c>
      <c r="F22" s="5" t="inlineStr">
        <is>
          <t>Jeliell</t>
        </is>
      </c>
      <c r="G22" s="6" t="n">
        <v>46310</v>
      </c>
      <c r="H22" s="5" t="inlineStr">
        <is>
          <t>#41, #38</t>
        </is>
      </c>
      <c r="I22" s="5" t="inlineStr">
        <is>
          <t>A fazer</t>
        </is>
      </c>
      <c r="J22" s="5" t="inlineStr">
        <is>
          <t>Plano da N2</t>
        </is>
      </c>
      <c r="K22" s="5" t="inlineStr">
        <is>
          <t>• Lista, criar/editar e detalhe da turma usam a API (P3, modal da P4 e P5)
• Cadastrar, remover e anonimizar aluno usam a API
• Importação em lote grava no banco
• Depois de importar, a tela mostra quantos alunos entraram e quantos foram ignorados
• A prévia da importação aponta e-mail malformado antes de enviar
• O aviso de privacidade aparece também na importação (RF39)
• Erros da API aparecem na tela: ao salvar turma, cadastrar aluno, arquivar e restaurar turma, remover e anonimizar aluno, e ao carregar os alunos
• `ImportStudentsDialog` usa um hook e não chama `useServices` direto
• Testes automatizados do caso principal: hook de importação, regra do e-mail em `parseStudents`, e Cypress de importação, remoção e erro em `classes.cy.ts`
• Vídeo do teste anexado no PR</t>
        </is>
      </c>
    </row>
    <row r="23" ht="121" customHeight="1">
      <c r="A23" s="4" t="inlineStr">
        <is>
          <t>#43</t>
        </is>
      </c>
      <c r="B23" s="5" t="inlineStr">
        <is>
          <t>feat(api): question bank CRUD with server-side filters</t>
        </is>
      </c>
      <c r="C23" s="5" t="inlineStr">
        <is>
          <t>Desenvolvimento</t>
        </is>
      </c>
      <c r="D23" s="5" t="inlineStr">
        <is>
          <t>Questões e provas</t>
        </is>
      </c>
      <c r="E23" s="5" t="inlineStr">
        <is>
          <t>Cleberson Maia</t>
        </is>
      </c>
      <c r="F23" s="5" t="inlineStr">
        <is>
          <t>maia202</t>
        </is>
      </c>
      <c r="G23" s="6" t="n">
        <v>46310</v>
      </c>
      <c r="H23" s="5" t="inlineStr">
        <is>
          <t>#31, #32, #40</t>
        </is>
      </c>
      <c r="I23" s="5" t="inlineStr">
        <is>
          <t>A fazer</t>
        </is>
      </c>
      <c r="J23" s="5" t="inlineStr">
        <is>
          <t>Plano da N2</t>
        </is>
      </c>
      <c r="K23" s="5" t="inlineStr">
        <is>
          <t>• As 7 rotas respondem, e todas exigem login
• Um professor não vê nem altera questão de outro (teste com dois professores)
• A validação recusa o mesmo que o formulário recusa
• Excluir só preenche `deletedAt`, e restaurar desfaz. Nada é apagado do banco.
• Filtros, ordenação e paginação acontecem no servidor
• O PATCH mescla e não apaga campo que não foi enviado; `null` remove o valor
• `GET /questions/:id` devolve também questão excluída
• Testes com supertest para criar, listar com filtro, editar, excluir, restaurar e acesso de outro professor
• Vídeo do teste anexado no PR (chamando as rotas pelo Postman ou Insomnia, ou rodando os testes)</t>
        </is>
      </c>
    </row>
    <row r="24" ht="121" customHeight="1">
      <c r="A24" s="4" t="inlineStr">
        <is>
          <t>#44</t>
        </is>
      </c>
      <c r="B24" s="5" t="inlineStr">
        <is>
          <t>feat(web): question bank screens on the API</t>
        </is>
      </c>
      <c r="C24" s="5" t="inlineStr">
        <is>
          <t>Desenvolvimento</t>
        </is>
      </c>
      <c r="D24" s="5" t="inlineStr">
        <is>
          <t>Questões e provas</t>
        </is>
      </c>
      <c r="E24" s="5" t="inlineStr">
        <is>
          <t>Cleberson Maia</t>
        </is>
      </c>
      <c r="F24" s="5" t="inlineStr">
        <is>
          <t>maia202</t>
        </is>
      </c>
      <c r="G24" s="6" t="n">
        <v>46311</v>
      </c>
      <c r="H24" s="5" t="inlineStr">
        <is>
          <t>#43, #38</t>
        </is>
      </c>
      <c r="I24" s="5" t="inlineStr">
        <is>
          <t>A fazer</t>
        </is>
      </c>
      <c r="J24" s="5" t="inlineStr">
        <is>
          <t>Plano da N2</t>
        </is>
      </c>
      <c r="K24" s="5" t="inlineStr">
        <is>
          <t>• Lista (P6) e criar/editar (P7) usam a API: criar, editar, duplicar, excluir e restaurar gravam no banco e continuam lá depois de recarregar a página
• Filtros de tipo, tags, "Sem tag", busca e ordenação chamam o servidor (`GET /questions`), sem filtrar a página no navegador
• Tags do filtro e das sugestões do formulário vêm de `GET /questions/tags`, sem listar 1000 questões
• A lista mostra o total e deixa ver as questões além da primeira página
• Editar uma objetiva para discursiva não deixa `alternatives` nem `correctAlternativeId` para trás no banco
• Questão inexistente ou de outro professor mostra "não encontrada", e não um formulário vazio
• Teste unitário do repositório filtrando antes de paginar, e `questions.cy.ts` verde
• Testes automatizados do caso principal
• Vídeo do teste anexado no PR</t>
        </is>
      </c>
    </row>
    <row r="25" ht="95" customHeight="1">
      <c r="A25" s="4" t="inlineStr">
        <is>
          <t>#69</t>
        </is>
      </c>
      <c r="B25" s="5" t="inlineStr">
        <is>
          <t>po: validate open scope items with the client</t>
        </is>
      </c>
      <c r="C25" s="5" t="inlineStr">
        <is>
          <t>Validação de escopo</t>
        </is>
      </c>
      <c r="D25" s="5" t="inlineStr">
        <is>
          <t>Processo e escopo</t>
        </is>
      </c>
      <c r="E25" s="5" t="inlineStr">
        <is>
          <t>Heloísa Fogaça</t>
        </is>
      </c>
      <c r="F25" s="5" t="inlineStr">
        <is>
          <t>heloisaFogaca</t>
        </is>
      </c>
      <c r="G25" s="6" t="n">
        <v>46311</v>
      </c>
      <c r="H25" s="5" t="inlineStr">
        <is>
          <t>—</t>
        </is>
      </c>
      <c r="I25" s="5" t="inlineStr">
        <is>
          <t>A fazer</t>
        </is>
      </c>
      <c r="J25" s="5" t="inlineStr">
        <is>
          <t>Pendência do README (cliente)</t>
        </is>
      </c>
      <c r="K25" s="5" t="inlineStr">
        <is>
          <t>• Excel na importação/exportação: formato e colunas que o cliente usa hoje
• Retorno do cartão-resposta ao aluno
• Finalidade do e-mail do aluno
• Alunos menores de idade
• Respostas registradas em docs e no README, com a data
• Issues afetadas (#42, #43, #46 e #82) avisadas com a resposta
• Evidência (link, print ou vídeo) anexada na issue</t>
        </is>
      </c>
    </row>
    <row r="26" ht="108" customHeight="1">
      <c r="A26" s="4" t="inlineStr">
        <is>
          <t>#84</t>
        </is>
      </c>
      <c r="B26" s="5" t="inlineStr">
        <is>
          <t>docs: first architecture decision records in docs/adr</t>
        </is>
      </c>
      <c r="C26" s="5" t="inlineStr">
        <is>
          <t>Documentação</t>
        </is>
      </c>
      <c r="D26" s="5" t="inlineStr">
        <is>
          <t>Documentação</t>
        </is>
      </c>
      <c r="E26" s="5" t="inlineStr">
        <is>
          <t>Priscila Torres</t>
        </is>
      </c>
      <c r="F26" s="5" t="inlineStr">
        <is>
          <t>PrieTorres</t>
        </is>
      </c>
      <c r="G26" s="6" t="n">
        <v>46311</v>
      </c>
      <c r="H26" s="5" t="inlineStr">
        <is>
          <t>#31, #32, #83</t>
        </is>
      </c>
      <c r="I26" s="5" t="inlineStr">
        <is>
          <t>A fazer</t>
        </is>
      </c>
      <c r="J26" s="5" t="inlineStr">
        <is>
          <t>Modelo de documentação da disciplina</t>
        </is>
      </c>
      <c r="K26" s="5" t="inlineStr">
        <is>
          <t>• ADR da escolha e da hospedagem do banco MySQL
• ADR da estrutura em camadas da API (rota → controle → serviço → repositório → model)
• ADR da autenticação, conforme a decisão com a professora (#83)
• ADR do armazenamento das imagens das folhas, fora do banco
• ADR de onde a API fica hospedada: serviço, plano gratuito e limites
• Arquivos em `docs/adr/`, no formato Contexto, Decisão e Consequências, linkados na seção 6 do README
• Arquivos numerados e com nome em inglês (`ADR-001-...md`)
• Evidência (link, print ou vídeo) anexada na issue</t>
        </is>
      </c>
    </row>
    <row r="27" ht="134" customHeight="1">
      <c r="A27" s="4" t="inlineStr">
        <is>
          <t>#45</t>
        </is>
      </c>
      <c r="B27" s="5" t="inlineStr">
        <is>
          <t>feat: exams on the API, with the automatic draw on the server</t>
        </is>
      </c>
      <c r="C27" s="5" t="inlineStr">
        <is>
          <t>Desenvolvimento</t>
        </is>
      </c>
      <c r="D27" s="5" t="inlineStr">
        <is>
          <t>Questões e provas</t>
        </is>
      </c>
      <c r="E27" s="5" t="inlineStr">
        <is>
          <t>Cleberson Maia</t>
        </is>
      </c>
      <c r="F27" s="5" t="inlineStr">
        <is>
          <t>maia202</t>
        </is>
      </c>
      <c r="G27" s="6" t="n">
        <v>46312</v>
      </c>
      <c r="H27" s="5" t="inlineStr">
        <is>
          <t>#43, #44, #38, #32</t>
        </is>
      </c>
      <c r="I27" s="5" t="inlineStr">
        <is>
          <t>A fazer</t>
        </is>
      </c>
      <c r="J27" s="5" t="inlineStr">
        <is>
          <t>Plano da N2</t>
        </is>
      </c>
      <c r="K27" s="5" t="inlineStr">
        <is>
          <t>• As 7 rotas de prova respondem, todas exigem login, e prova de outro professor responde 404
• Exam persistido com o embaralhamento que as versões vão herdar: `allowShuffleAlternatives` por questão (RF13), `defaultShuffleQuestions` e `defaultShuffleAlternatives` (RF17), além de `order` e `score` (o `ExamVersion` com `layout` nasce na geração da aplicação, na #46)
• O servidor recusa mais de 20 questões, questão repetida e questão de outro professor, e aceita questão já excluída do banco que a prova usava
• Título repetido responde 409 com a mensagem de hoje, inclusive contra prova arquivada
• `status` nunca vem do corpo: nasce `draft`, arquivar grava `closed` e restaurar volta para `draft`
• Geração automática no servidor (`POST /exams/draw`): só questões ativas do professor, com todas as tags pedidas, sem repetir as que já estão na prova
• Telas de provas (P8, P9, P9b e P10) usam a API, e o formulário e o detalhe mostram o enunciado de toda questão da prova, mesmo fora da primeira página do banco
• Testes com supertest para criar, editar, arquivar, restaurar, título repetido, acesso de outro professor e sorteio
• Testes automatizados do caso principal
• Vídeo do teste anexado no PR</t>
        </is>
      </c>
    </row>
    <row r="28" ht="212" customHeight="1">
      <c r="A28" s="4" t="inlineStr">
        <is>
          <t>#46</t>
        </is>
      </c>
      <c r="B28" s="5" t="inlineStr">
        <is>
          <t>feat: applications, exam versions and answer sheets with QR code</t>
        </is>
      </c>
      <c r="C28" s="5" t="inlineStr">
        <is>
          <t>Desenvolvimento</t>
        </is>
      </c>
      <c r="D28" s="5" t="inlineStr">
        <is>
          <t>Turmas e aplicações</t>
        </is>
      </c>
      <c r="E28" s="5" t="inlineStr">
        <is>
          <t>Jeliel Nunes</t>
        </is>
      </c>
      <c r="F28" s="5" t="inlineStr">
        <is>
          <t>Jeliell</t>
        </is>
      </c>
      <c r="G28" s="6" t="n">
        <v>46313</v>
      </c>
      <c r="H28" s="5" t="inlineStr">
        <is>
          <t>#31, #32, #40, #38, #41, #45</t>
        </is>
      </c>
      <c r="I28" s="5" t="inlineStr">
        <is>
          <t>A fazer</t>
        </is>
      </c>
      <c r="J28" s="5" t="inlineStr">
        <is>
          <t>Plano da N2</t>
        </is>
      </c>
      <c r="K28" s="5" t="inlineStr">
        <is>
          <t>• Application e ExamAssignment: as rotas de `Application` (listar com filtros, ver, criar, editar, arquivar, restaurar) respondem e exigem login; `ExamAssignment` continua só como tabela do contrato, sem rota
• Aplicação, versão, folha ou PDF de outro professor responde 404 (teste com dois professores)
• Criar aplicação recusa prova arquivada e turma arquivada
• Gerar grava as versões com `layout` e uma `AnswerSheet` por aluno ativo da turma, inclusive quando a prova tem questão excluída depois
• AnswerSheet com sheetNumber e code aleatório de 128 bits: `sheetNumber` sequencial na aplicação e `code` de 26 caracteres (130 bits), gerado no servidor e único no banco
• PDF consolidado gerado de verdade, sem simulação, com um QR Code único por folha (RF23)
• O cartão-resposta impresso traz os marcadores de canto e a grade de bolinhas em posições fixas e documentadas, que a leitura da #78 usa (referência: `docs/prova.jpg.jpeg`)
• O QR Code leva `&lt;URL pública&gt;/r/&lt;code&gt;`, com a base vinda de variável de ambiente
• No PDF, questão não quebra entre páginas (RF43) e prova com número ímpar de páginas ganha uma em branco (RF44)
• Regenerar substitui versões, folhas e PDF, e o código antigo deixa de ser encontrado (RF24)
• Gerar com folha já corrigida responde 409 e a tela mostra o motivo
• Telas de aplicação e PDF usam a API: P11, P12, P13 e P14, incluindo publicar gabarito e liberar notas
• "Liberar notas" fica bloqueado enquanto o gabarito da versão não for publicado, na tela P14 e no servidor
• O modelo fixo `exemplos/prova-exemplo.html` sai da tela e "Baixar PDF" baixa o arquivo gerado
• Testes automatizados do caso principal: supertest para criar, gerar, regenerar, recusar geração com correção e acesso de outro professor; teste unitário do que for regra nova; `applications.cy.ts` atualizado para o PDF real
• Vídeo do teste anexado no PR</t>
        </is>
      </c>
    </row>
    <row r="29" ht="82" customHeight="1">
      <c r="A29" s="4" t="inlineStr">
        <is>
          <t>#62</t>
        </is>
      </c>
      <c r="B29" s="5" t="inlineStr">
        <is>
          <t>qa: exploratory test of question bank and exams on the real database</t>
        </is>
      </c>
      <c r="C29" s="5" t="inlineStr">
        <is>
          <t>QA exploratório</t>
        </is>
      </c>
      <c r="D29" s="5" t="inlineStr">
        <is>
          <t>Questões e provas</t>
        </is>
      </c>
      <c r="E29" s="5" t="inlineStr">
        <is>
          <t>Jeliel Nunes</t>
        </is>
      </c>
      <c r="F29" s="5" t="inlineStr">
        <is>
          <t>Jeliell</t>
        </is>
      </c>
      <c r="G29" s="6" t="n">
        <v>46313</v>
      </c>
      <c r="H29" s="5" t="inlineStr">
        <is>
          <t>#44, #45, #43, #40</t>
        </is>
      </c>
      <c r="I29" s="5" t="inlineStr">
        <is>
          <t>A fazer</t>
        </is>
      </c>
      <c r="J29" s="5" t="inlineStr">
        <is>
          <t>Plano da N2</t>
        </is>
      </c>
      <c r="K29" s="5" t="inlineStr">
        <is>
          <t>• Testar criar/listar/editar/excluir e casos de borda (banco de questões, provas, geração automática)
• Testar o isolamento com um segundo professor: nada de A aparece para B, e URL de A mostra "não encontrada"
• Abrir uma issue Bug por problema, com vídeo
• Conferir que nada some ao editar e que não há dado simulado
• Retestar os bugs corrigidos
• Evidência (link, print ou vídeo) anexada na issue</t>
        </is>
      </c>
    </row>
    <row r="30" ht="69" customHeight="1">
      <c r="A30" s="4" t="inlineStr">
        <is>
          <t>#64</t>
        </is>
      </c>
      <c r="B30" s="5" t="inlineStr">
        <is>
          <t>review: code review of the question bank and exams pull requests</t>
        </is>
      </c>
      <c r="C30" s="5" t="inlineStr">
        <is>
          <t>Code review</t>
        </is>
      </c>
      <c r="D30" s="5" t="inlineStr">
        <is>
          <t>Questões e provas</t>
        </is>
      </c>
      <c r="E30" s="5" t="inlineStr">
        <is>
          <t>Jeliel Nunes</t>
        </is>
      </c>
      <c r="F30" s="5" t="inlineStr">
        <is>
          <t>Jeliell</t>
        </is>
      </c>
      <c r="G30" s="6" t="n">
        <v>46313</v>
      </c>
      <c r="H30" s="5" t="inlineStr">
        <is>
          <t>#43, #44, #45</t>
        </is>
      </c>
      <c r="I30" s="5" t="inlineStr">
        <is>
          <t>A fazer</t>
        </is>
      </c>
      <c r="J30" s="5" t="inlineStr">
        <is>
          <t>Plano da N2</t>
        </is>
      </c>
      <c r="K30" s="5" t="inlineStr">
        <is>
          <t>• Revisar e aprovar ou pedir mudanças nos PRs de question bank and exams (#43, #44 e #45), com comentário no código, e não só aprovação
• Rodar cada PR localmente: tipos, testes unitários, Cypress e, na #43 e na #45, os testes da API
• Conferir o vídeo do teste contra o checklist da issue
• Prints das revisões no diário
• Evidência (link, print ou vídeo) anexada na issue</t>
        </is>
      </c>
    </row>
    <row r="31" ht="173" customHeight="1">
      <c r="A31" s="4" t="inlineStr">
        <is>
          <t>#47</t>
        </is>
      </c>
      <c r="B31" s="5" t="inlineStr">
        <is>
          <t>feat(api): answer sheet upload and correction review</t>
        </is>
      </c>
      <c r="C31" s="5" t="inlineStr">
        <is>
          <t>Desenvolvimento</t>
        </is>
      </c>
      <c r="D31" s="5" t="inlineStr">
        <is>
          <t>Correção, painel e relatórios</t>
        </is>
      </c>
      <c r="E31" s="5" t="inlineStr">
        <is>
          <t>Fabricio da Silva</t>
        </is>
      </c>
      <c r="F31" s="5" t="inlineStr">
        <is>
          <t>fabriciojrr</t>
        </is>
      </c>
      <c r="G31" s="6" t="n">
        <v>46314</v>
      </c>
      <c r="H31" s="5" t="inlineStr">
        <is>
          <t>#31, #32, #40, #46, #84</t>
        </is>
      </c>
      <c r="I31" s="5" t="inlineStr">
        <is>
          <t>A fazer</t>
        </is>
      </c>
      <c r="J31" s="5" t="inlineStr">
        <is>
          <t>Plano da N2</t>
        </is>
      </c>
      <c r="K31" s="5" t="inlineStr">
        <is>
          <t>• Upload aceita só imagem (pelo tipo real do arquivo, não pela extensão), com limite de 10 MB, e guarda o arquivo fora do banco: na tabela fica só `imageUrl`
• A imagem só é entregue ao professor dono da aplicação, nunca por um endereço público
• O envio devolve o resultado da leitura (`READ`, `QR_NOT_RECOGNIZED` ou `READ_FAILED`), e nada vira `Correction` antes da confirmação
• Toda falha de leitura fica registrada no `ActivityLog`, com a referência da imagem e sem dado pessoal, e aparece em `GET /applications/:id/read-failures`
• Correction por folha, gravada a partir de um envio (`source: "IMAGE_UPLOAD"`) ou com lançamento manual, sem imagem (`source: "MANUAL"`, RF30)
• Atribuição de aluno em folha sem identificação (RF31), com `409` quando o mesmo aluno aparece duas vezes na mesma versão
• Nota final só após confirmação do professor: nenhuma leitura cria `Correction`, e `DONE` só sai com `finalize: true` e todas as discursivas com nota (RF28, RF47)
• O servidor recalcula acerto, nota por questão, `totalScore` e `status`, e ignora esses valores quando vêm do cliente
• Um professor não vê nem altera correção, envio ou imagem de outro (404)
• O PATCH mescla e não apaga o campo que não foi enviado, inclusive `clientCorrectionId` e `syncStatus`
• Testes com supertest para: envio válido, arquivo que não é imagem, arquivo acima do limite, correção manual, revisão parcial e final, atribuição com conflito e acesso de outro professor
• Testes automatizados do caso principal
• Vídeo do teste anexado no PR (chamando as rotas pelo Postman ou Insomnia, ou rodando os testes)</t>
        </is>
      </c>
    </row>
    <row r="32" ht="95" customHeight="1">
      <c r="A32" s="4" t="inlineStr">
        <is>
          <t>#58</t>
        </is>
      </c>
      <c r="B32" s="5" t="inlineStr">
        <is>
          <t>qa: exploratory test of classes and applications on the real database</t>
        </is>
      </c>
      <c r="C32" s="5" t="inlineStr">
        <is>
          <t>QA exploratório</t>
        </is>
      </c>
      <c r="D32" s="5" t="inlineStr">
        <is>
          <t>Turmas e aplicações</t>
        </is>
      </c>
      <c r="E32" s="5" t="inlineStr">
        <is>
          <t>Heloísa Fogaça</t>
        </is>
      </c>
      <c r="F32" s="5" t="inlineStr">
        <is>
          <t>heloisaFogaca</t>
        </is>
      </c>
      <c r="G32" s="6" t="n">
        <v>46314</v>
      </c>
      <c r="H32" s="5" t="inlineStr">
        <is>
          <t>#41, #42, #46</t>
        </is>
      </c>
      <c r="I32" s="5" t="inlineStr">
        <is>
          <t>A fazer</t>
        </is>
      </c>
      <c r="J32" s="5" t="inlineStr">
        <is>
          <t>Plano da N2</t>
        </is>
      </c>
      <c r="K32" s="5" t="inlineStr">
        <is>
          <t>• Testar criar/listar/editar/excluir e casos de borda (turmas, alunos, importação, aplicações, PDF)
• Testar o isolamento com dois professores: um não vê nem altera turma ou aplicação do outro
• Conferir o PDF: um QR Code por folha, questão sem quebra de página e página em branco quando ímpar
• Abrir uma issue Bug por problema, com vídeo
• Conferir que nada some ao editar e que não há dado simulado
• Retestar os bugs corrigidos
• Evidência (link, print ou vídeo) anexada na issue</t>
        </is>
      </c>
    </row>
    <row r="33" ht="95" customHeight="1">
      <c r="A33" s="4" t="inlineStr">
        <is>
          <t>#63</t>
        </is>
      </c>
      <c r="B33" s="5" t="inlineStr">
        <is>
          <t>test(e2e): Cypress coverage for question bank and exams against the API</t>
        </is>
      </c>
      <c r="C33" s="5" t="inlineStr">
        <is>
          <t>Teste automatizado</t>
        </is>
      </c>
      <c r="D33" s="5" t="inlineStr">
        <is>
          <t>Questões e provas</t>
        </is>
      </c>
      <c r="E33" s="5" t="inlineStr">
        <is>
          <t>Cleberson Maia</t>
        </is>
      </c>
      <c r="F33" s="5" t="inlineStr">
        <is>
          <t>maia202</t>
        </is>
      </c>
      <c r="G33" s="6" t="n">
        <v>46314</v>
      </c>
      <c r="H33" s="5" t="inlineStr">
        <is>
          <t>#62, #44, #45, #40, #39</t>
        </is>
      </c>
      <c r="I33" s="5" t="inlineStr">
        <is>
          <t>A fazer</t>
        </is>
      </c>
      <c r="J33" s="5" t="inlineStr">
        <is>
          <t>Plano da N2</t>
        </is>
      </c>
      <c r="K33" s="5" t="inlineStr">
        <is>
          <t>• Specs de banco de questões, provas e geração automática (`questions.cy.ts` e `exams.cy.ts`) rodando contra a API e cobrindo fluxo feliz, erro e estado vazio de P6, P7, P8, P9, P9b e P10
• Cada teste cria os próprios dados pela API e entra com o professor do próprio run, sem depender da semente da N1
• Seletores por nome acessível, nunca presos à tag nem escolhendo item por índice (índice só para conferir ordem)
• Um cenário para cada bug encontrado na #62
• Suíte inteira verde no CI
• Testes automatizados do caso principal
• Vídeo do teste anexado no PR</t>
        </is>
      </c>
    </row>
    <row r="34" ht="134" customHeight="1">
      <c r="A34" s="4" t="inlineStr">
        <is>
          <t>#78</t>
        </is>
      </c>
      <c r="B34" s="5" t="inlineStr">
        <is>
          <t>feat: read the QR code and the marks from the sheet photo (RF27)</t>
        </is>
      </c>
      <c r="C34" s="5" t="inlineStr">
        <is>
          <t>Desenvolvimento</t>
        </is>
      </c>
      <c r="D34" s="5" t="inlineStr">
        <is>
          <t>Correção, painel e relatórios</t>
        </is>
      </c>
      <c r="E34" s="5" t="inlineStr">
        <is>
          <t>Priscila Torres</t>
        </is>
      </c>
      <c r="F34" s="5" t="inlineStr">
        <is>
          <t>PrieTorres</t>
        </is>
      </c>
      <c r="G34" s="6" t="n">
        <v>46314</v>
      </c>
      <c r="H34" s="5" t="inlineStr">
        <is>
          <t>#46, #47, #84</t>
        </is>
      </c>
      <c r="I34" s="5" t="inlineStr">
        <is>
          <t>A fazer</t>
        </is>
      </c>
      <c r="J34" s="5" t="inlineStr">
        <is>
          <t>Feedback da N1</t>
        </is>
      </c>
      <c r="K34" s="5" t="inlineStr">
        <is>
          <t>• Decisão de onde a leitura roda (navegador ou servidor) registrada como ADR em `docs/adr/`, com as bibliotecas candidatas comparadas
• O QR Code da foto identifica a folha pelo `AnswerSheet.code`
• Código de outra aplicação ou de PDF regenerado é tratado como "QR não reconhecido"
• Marcações lidas nas posições do cartão impresso e traduzidas pelo `ExamVersion.layout`, devolvendo a alternativa marcada em cada objetiva
• Questão em branco ou com mais de uma marca volta sem alternativa, para o professor decidir na revisão
• Folha com QR ilegível fica como "QR não reconhecido" e segue para a correção manual (RF30)
• A leitura nunca confirma a nota sozinha: sempre abre a revisão (RF28)
• Testado com fotos de folhas impressas de verdade, tiradas no celular
• Testes automatizados do caso principal
• Vídeo do teste anexado no PR</t>
        </is>
      </c>
    </row>
    <row r="35" ht="95" customHeight="1">
      <c r="A35" s="4" t="inlineStr">
        <is>
          <t>#28</t>
        </is>
      </c>
      <c r="B35" s="5" t="inlineStr">
        <is>
          <t>Diagrama de Classe</t>
        </is>
      </c>
      <c r="C35" s="5" t="inlineStr">
        <is>
          <t>Documentação</t>
        </is>
      </c>
      <c r="D35" s="5" t="inlineStr">
        <is>
          <t>Documentação</t>
        </is>
      </c>
      <c r="E35" s="5" t="inlineStr">
        <is>
          <t>Cleberson Maia</t>
        </is>
      </c>
      <c r="F35" s="5" t="inlineStr">
        <is>
          <t>maia202</t>
        </is>
      </c>
      <c r="G35" s="6" t="n">
        <v>46315</v>
      </c>
      <c r="H35" s="5" t="inlineStr">
        <is>
          <t>#32</t>
        </is>
      </c>
      <c r="I35" s="5" t="inlineStr">
        <is>
          <t>Em revisão</t>
        </is>
      </c>
      <c r="J35" s="5" t="inlineStr">
        <is>
          <t>Issue já existente</t>
        </is>
      </c>
      <c r="K35" s="5" t="inlineStr">
        <is>
          <t>• Fonte (`.puml`) e imagem em `docs/uml/`, com nome em inglês (ex.: `class-diagram.puml` e `class-diagram.png`)
• Entidades e campos iguais aos do `docs/Modelo_de_Dados.md`, com todas as linhas da tabela do comentário de 09/10 resolvidas
• Elementos reservados para escopo futuro presentes no diagrama
• Relação entre `Exam` e `Question` desenhada
• Classes conferidas com as entidades do banco (#32)
• PR com `Closes #28` e label `docs`
• Evidência (link, print ou vídeo) anexada na issue</t>
        </is>
      </c>
    </row>
    <row r="36" ht="121" customHeight="1">
      <c r="A36" s="4" t="inlineStr">
        <is>
          <t>#48</t>
        </is>
      </c>
      <c r="B36" s="5" t="inlineStr">
        <is>
          <t>feat(web): grading screens with real upload</t>
        </is>
      </c>
      <c r="C36" s="5" t="inlineStr">
        <is>
          <t>Desenvolvimento</t>
        </is>
      </c>
      <c r="D36" s="5" t="inlineStr">
        <is>
          <t>Correção, painel e relatórios</t>
        </is>
      </c>
      <c r="E36" s="5" t="inlineStr">
        <is>
          <t>Fabricio da Silva</t>
        </is>
      </c>
      <c r="F36" s="5" t="inlineStr">
        <is>
          <t>fabriciojrr</t>
        </is>
      </c>
      <c r="G36" s="6" t="n">
        <v>46315</v>
      </c>
      <c r="H36" s="5" t="inlineStr">
        <is>
          <t>#47, #38</t>
        </is>
      </c>
      <c r="I36" s="5" t="inlineStr">
        <is>
          <t>A fazer</t>
        </is>
      </c>
      <c r="J36" s="5" t="inlineStr">
        <is>
          <t>Plano da N2</t>
        </is>
      </c>
      <c r="K36" s="5" t="inlineStr">
        <is>
          <t>• Enviar, revisar e pendentes usam a API: P15, P16 e P17 sem `localStorage` e sem leitura simulada
• Imagens de demonstração removidas: `public/demo-sheets`, `DEMO_SHEET_IMAGES`, `DEMO_SHEET` e os textos sobre leitura simulada
• Botão "Fotografar folha" abre a câmera do celular (`capture`), uma folha por vez em sequência (P15)
• Botão "Inserir correção manualmente", sem imagem (RF30), abre a P16 vazia para a folha escolhida
• A lista da P15 mostra o status de cada folha (Processando, Lido, QR não reconhecido, Falha na leitura) e marca as que estão em andamento (RF48)
• A revisão mostra a foto enviada, com as questões e as letras na ordem impressa daquela versão (`ExamVersion.layout`)
• O tour da P15 descreve a tela nova e aponta para elementos que existem
• Testes automatizados do caso principal
• Vídeo do teste anexado no PR (com um celular fotografando uma folha)</t>
        </is>
      </c>
    </row>
    <row r="37" ht="134" customHeight="1">
      <c r="A37" s="4" t="inlineStr">
        <is>
          <t>#49</t>
        </is>
      </c>
      <c r="B37" s="5" t="inlineStr">
        <is>
          <t>feat: public QR lookup on the API</t>
        </is>
      </c>
      <c r="C37" s="5" t="inlineStr">
        <is>
          <t>Desenvolvimento</t>
        </is>
      </c>
      <c r="D37" s="5" t="inlineStr">
        <is>
          <t>Acesso e consulta pública</t>
        </is>
      </c>
      <c r="E37" s="5" t="inlineStr">
        <is>
          <t>Heloísa Fogaça</t>
        </is>
      </c>
      <c r="F37" s="5" t="inlineStr">
        <is>
          <t>heloisaFogaca</t>
        </is>
      </c>
      <c r="G37" s="6" t="n">
        <v>46315</v>
      </c>
      <c r="H37" s="5" t="inlineStr">
        <is>
          <t>#31, #38, #46, #47</t>
        </is>
      </c>
      <c r="I37" s="5" t="inlineStr">
        <is>
          <t>A fazer</t>
        </is>
      </c>
      <c r="J37" s="5" t="inlineStr">
        <is>
          <t>Plano da N2</t>
        </is>
      </c>
      <c r="K37" s="5" t="inlineStr">
        <is>
          <t>• Rota pública `GET /public/sheets/:code` responde sem login e busca só por `AnswerSheet.code`
• Rate limit de 30 requisições por minuto por IP, com 429 e `Retry-After`, e a tela mostra mensagem própria
• A resposta é só o `PublicLookup`, sem dados de outros alunos e sem campos internos da correção
• Página do QR lê do banco, por um repositório público, sem os repositórios do professor
• Code inválido mostra mensagem "QR inválido", com resposta idêntica para código desconhecido e para folha de PDF regenerado
• Os quatro estados seguem os dois níveis de liberação, e a nota nunca aparece sem o gabarito
• Correção em andamento (`IN_PROGRESS`) não mostra nota
• Testes com supertest para os quatro estados, código inválido, PDF regenerado, correção em andamento, 429 e resposta sem nome de outro aluno
• Testes automatizados do caso principal
• Vídeo do teste anexado no PR</t>
        </is>
      </c>
    </row>
    <row r="38" ht="108" customHeight="1">
      <c r="A38" s="4" t="inlineStr">
        <is>
          <t>#59</t>
        </is>
      </c>
      <c r="B38" s="5" t="inlineStr">
        <is>
          <t>test(e2e): Cypress coverage for classes and applications against the API</t>
        </is>
      </c>
      <c r="C38" s="5" t="inlineStr">
        <is>
          <t>Teste automatizado</t>
        </is>
      </c>
      <c r="D38" s="5" t="inlineStr">
        <is>
          <t>Turmas e aplicações</t>
        </is>
      </c>
      <c r="E38" s="5" t="inlineStr">
        <is>
          <t>Jeliel Nunes</t>
        </is>
      </c>
      <c r="F38" s="5" t="inlineStr">
        <is>
          <t>Jeliell</t>
        </is>
      </c>
      <c r="G38" s="6" t="n">
        <v>46315</v>
      </c>
      <c r="H38" s="5" t="inlineStr">
        <is>
          <t>#58, #42, #46, #40, #39</t>
        </is>
      </c>
      <c r="I38" s="5" t="inlineStr">
        <is>
          <t>A fazer</t>
        </is>
      </c>
      <c r="J38" s="5" t="inlineStr">
        <is>
          <t>Plano da N2</t>
        </is>
      </c>
      <c r="K38" s="5" t="inlineStr">
        <is>
          <t>• Specs de turmas, alunos, importação, aplicações, PDF cobrindo fluxo feliz, erro e estado vazio
• A suíte roda contra a API e um banco de teste, com login e dados preparados pelo próprio teste, sem depender do `localStorage` nem do seed da N1
• Os testes do modelo fixo do PDF foram trocados por testes do PDF gerado
• Isolamento coberto: o professor B não abre turma nem aplicação do professor A
• Seletores por nome acessível, nunca por tag ou índice, inclusive os existentes da tabela acima
• Suíte inteira verde no CI
• Testes automatizados do caso principal
• Vídeo do teste anexado no PR</t>
        </is>
      </c>
    </row>
    <row r="39" ht="82" customHeight="1">
      <c r="A39" s="4" t="inlineStr">
        <is>
          <t>#27</t>
        </is>
      </c>
      <c r="B39" s="5" t="inlineStr">
        <is>
          <t>Diagrama de Atividade</t>
        </is>
      </c>
      <c r="C39" s="5" t="inlineStr">
        <is>
          <t>Documentação</t>
        </is>
      </c>
      <c r="D39" s="5" t="inlineStr">
        <is>
          <t>Documentação</t>
        </is>
      </c>
      <c r="E39" s="5" t="inlineStr">
        <is>
          <t>Jeliel Nunes</t>
        </is>
      </c>
      <c r="F39" s="5" t="inlineStr">
        <is>
          <t>Jeliell</t>
        </is>
      </c>
      <c r="G39" s="6" t="n">
        <v>46316</v>
      </c>
      <c r="H39" s="5" t="inlineStr">
        <is>
          <t>#47, #48, #78</t>
        </is>
      </c>
      <c r="I39" s="5" t="inlineStr">
        <is>
          <t>Em andamento</t>
        </is>
      </c>
      <c r="J39" s="5" t="inlineStr">
        <is>
          <t>Issue já existente</t>
        </is>
      </c>
      <c r="K39" s="5" t="inlineStr">
        <is>
          <t>• Fonte e imagem do diagrama em `docs/uml/`, com nome em inglês, e não só o `.docx` anexado nos comentários
• Fluxo de correção atualizado para a N2: a foto passa pela API, e a correção é gravada no MySQL
• Linha cheia no lugar do tracejado no que a N2 implementar: correção manual (RF30) e nota só depois da confirmação do professor (RNF07, RF47)
• O que a N2 não implementou continua tracejado, com a legenda atualizada para a N2
• PR com `Closes #27` e label `docs`
• Evidência (link, print ou vídeo) anexada na issue</t>
        </is>
      </c>
    </row>
    <row r="40" ht="95" customHeight="1">
      <c r="A40" s="4" t="inlineStr">
        <is>
          <t>#29</t>
        </is>
      </c>
      <c r="B40" s="5" t="inlineStr">
        <is>
          <t>Diagrama de Sequência</t>
        </is>
      </c>
      <c r="C40" s="5" t="inlineStr">
        <is>
          <t>Documentação</t>
        </is>
      </c>
      <c r="D40" s="5" t="inlineStr">
        <is>
          <t>Documentação</t>
        </is>
      </c>
      <c r="E40" s="5" t="inlineStr">
        <is>
          <t>Cleberson Maia</t>
        </is>
      </c>
      <c r="F40" s="5" t="inlineStr">
        <is>
          <t>maia202</t>
        </is>
      </c>
      <c r="G40" s="6" t="n">
        <v>46316</v>
      </c>
      <c r="H40" s="5" t="inlineStr">
        <is>
          <t>#47, #83</t>
        </is>
      </c>
      <c r="I40" s="5" t="inlineStr">
        <is>
          <t>Em andamento</t>
        </is>
      </c>
      <c r="J40" s="5" t="inlineStr">
        <is>
          <t>Issue já existente</t>
        </is>
      </c>
      <c r="K40" s="5" t="inlineStr">
        <is>
          <t>• Sequência do fluxo principal mostrando front → API → MySQL. Sugestão: enviar a folha e confirmar a correção.
• Camadas da API aparecem (rota → controle → serviço → repositório), com as rotas que a #47 implementou
• Mostrar o token de autenticação e a resposta de erro da API
• A nota só passa a valer depois da confirmação do professor (RNF07)
• Fonte (`.puml` ou Mermaid) e imagem em `docs/uml/`, com nome em inglês
• PR com `Closes #29` e label `docs`
• Evidência (link, print ou vídeo) anexada na issue</t>
        </is>
      </c>
    </row>
    <row r="41" ht="108" customHeight="1">
      <c r="A41" s="4" t="inlineStr">
        <is>
          <t>#50</t>
        </is>
      </c>
      <c r="B41" s="5" t="inlineStr">
        <is>
          <t>feat: dashboard, profile and reports on the API</t>
        </is>
      </c>
      <c r="C41" s="5" t="inlineStr">
        <is>
          <t>Desenvolvimento</t>
        </is>
      </c>
      <c r="D41" s="5" t="inlineStr">
        <is>
          <t>Correção, painel e relatórios</t>
        </is>
      </c>
      <c r="E41" s="5" t="inlineStr">
        <is>
          <t>Fabricio da Silva</t>
        </is>
      </c>
      <c r="F41" s="5" t="inlineStr">
        <is>
          <t>fabriciojrr</t>
        </is>
      </c>
      <c r="G41" s="6" t="n">
        <v>46316</v>
      </c>
      <c r="H41" s="5" t="inlineStr">
        <is>
          <t>#47, #40, #38</t>
        </is>
      </c>
      <c r="I41" s="5" t="inlineStr">
        <is>
          <t>A fazer</t>
        </is>
      </c>
      <c r="J41" s="5" t="inlineStr">
        <is>
          <t>Plano da N2</t>
        </is>
      </c>
      <c r="K41" s="5" t="inlineStr">
        <is>
          <t>• Indicadores e relatórios calculados no servidor: painel, relatório da aplicação e relatório consolidado vêm das rotas próprias, sem listas de 1000 itens no navegador
• Os números usam as funções de `lib/reports/statistics.ts`, e só correções `DONE` entram em média, mediana, desvio e distribuição
• Prova, turma ou questão arquivada depois da aplicação continua aparecendo pelo nome no relatório
• Perfil edita dados reais: nome, e-mail e tipo vêm da API, "Anonimizar minha conta" grava no banco e "Sair de todos os dispositivos" encerra todas as sessões
• Um professor não vê números nem relatórios de outro (404 na aplicação de outro professor)
• Testes com supertest para painel, relatório (com correção em andamento e sem nenhuma correção) e anonimização
• Testes automatizados do caso principal
• Vídeo do teste anexado no PR</t>
        </is>
      </c>
    </row>
    <row r="42" ht="95" customHeight="1">
      <c r="A42" s="4" t="inlineStr">
        <is>
          <t>#54</t>
        </is>
      </c>
      <c r="B42" s="5" t="inlineStr">
        <is>
          <t>qa: exploratory test of access and public lookup on the real database</t>
        </is>
      </c>
      <c r="C42" s="5" t="inlineStr">
        <is>
          <t>QA exploratório</t>
        </is>
      </c>
      <c r="D42" s="5" t="inlineStr">
        <is>
          <t>Acesso e consulta pública</t>
        </is>
      </c>
      <c r="E42" s="5" t="inlineStr">
        <is>
          <t>Fabricio da Silva</t>
        </is>
      </c>
      <c r="F42" s="5" t="inlineStr">
        <is>
          <t>fabriciojrr</t>
        </is>
      </c>
      <c r="G42" s="6" t="n">
        <v>46316</v>
      </c>
      <c r="H42" s="5" t="inlineStr">
        <is>
          <t>#40, #49</t>
        </is>
      </c>
      <c r="I42" s="5" t="inlineStr">
        <is>
          <t>A fazer</t>
        </is>
      </c>
      <c r="J42" s="5" t="inlineStr">
        <is>
          <t>Plano da N2</t>
        </is>
      </c>
      <c r="K42" s="5" t="inlineStr">
        <is>
          <t>• Testar login, cadastro, recuperar senha, sair, consulta por QR e privacidade, com os casos de borda dos passos 2 a 7
• Abrir uma issue Bug por problema, com vídeo
• Conferir que nada some ao editar: trocar a senha não altera nem esconde turmas, questões e provas do professor
• Conferir que não há dado simulado (passo 8)
• Conferir que a consulta pública não mostra dado de outro aluno, nem na resposta da rede
• Retestar os bugs corrigidos
• Evidência (link, print ou vídeo) anexada na issue</t>
        </is>
      </c>
    </row>
    <row r="43" ht="95" customHeight="1">
      <c r="A43" s="4" t="inlineStr">
        <is>
          <t>#56</t>
        </is>
      </c>
      <c r="B43" s="5" t="inlineStr">
        <is>
          <t>review: code review of the access and public lookup pull requests</t>
        </is>
      </c>
      <c r="C43" s="5" t="inlineStr">
        <is>
          <t>Code review</t>
        </is>
      </c>
      <c r="D43" s="5" t="inlineStr">
        <is>
          <t>Acesso e consulta pública</t>
        </is>
      </c>
      <c r="E43" s="5" t="inlineStr">
        <is>
          <t>Fabricio da Silva</t>
        </is>
      </c>
      <c r="F43" s="5" t="inlineStr">
        <is>
          <t>fabriciojrr</t>
        </is>
      </c>
      <c r="G43" s="6" t="n">
        <v>46316</v>
      </c>
      <c r="H43" s="5" t="inlineStr">
        <is>
          <t>#40, #49</t>
        </is>
      </c>
      <c r="I43" s="5" t="inlineStr">
        <is>
          <t>A fazer</t>
        </is>
      </c>
      <c r="J43" s="5" t="inlineStr">
        <is>
          <t>Plano da N2</t>
        </is>
      </c>
      <c r="K43" s="5" t="inlineStr">
        <is>
          <t>• Revisar e aprovar ou pedir mudanças nos PRs da #40 e da #49, com comentário em cada um
• Conferir o vídeo do teste contra o checklist da issue
• Testes do PR rodados localmente
• Nomes de campo conferidos contra `docs/Modelo_de_Dados.md`
• Conferido, no código ou num teste, que recurso de outro professor responde 404 e que a consulta pública não expõe outro aluno
• Prints das revisões no diário
• Evidência (link, print ou vídeo) anexada na issue</t>
        </is>
      </c>
    </row>
    <row r="44" ht="121" customHeight="1">
      <c r="A44" s="4" t="inlineStr">
        <is>
          <t>#71</t>
        </is>
      </c>
      <c r="B44" s="5" t="inlineStr">
        <is>
          <t>docs: README v2 with integration status</t>
        </is>
      </c>
      <c r="C44" s="5" t="inlineStr">
        <is>
          <t>Documentação</t>
        </is>
      </c>
      <c r="D44" s="5" t="inlineStr">
        <is>
          <t>Documentação</t>
        </is>
      </c>
      <c r="E44" s="5" t="inlineStr">
        <is>
          <t>Cleberson Maia</t>
        </is>
      </c>
      <c r="F44" s="5" t="inlineStr">
        <is>
          <t>maia202</t>
        </is>
      </c>
      <c r="G44" s="6" t="n">
        <v>46316</v>
      </c>
      <c r="H44" s="5" t="inlineStr">
        <is>
          <t>#26, #27, #28, #29, #70, #84</t>
        </is>
      </c>
      <c r="I44" s="5" t="inlineStr">
        <is>
          <t>A fazer</t>
        </is>
      </c>
      <c r="J44" s="5" t="inlineStr">
        <is>
          <t>Plano da N2</t>
        </is>
      </c>
      <c r="K44" s="5" t="inlineStr">
        <is>
          <t>• README na numeração do modelo da disciplina (`modelo_doc.md`), seções 1 a 14
• Link do sistema hospedado no topo
• Tabela do que está ligado ao banco, por área, com a issue de cada uma
• Como rodar API + banco localmente
• Nenhum trecho descreve dado simulado como se fosse o sistema atual
• Links para diagramas e DER
• Seção 3 (UML) com um parágrafo curto abaixo de cada diagrama
• Seção 11 com a especificação da API (método, rota e descrição)
• Evidência (link, print ou vídeo) anexada na issue</t>
        </is>
      </c>
    </row>
    <row r="45" ht="82" customHeight="1">
      <c r="A45" s="4" t="inlineStr">
        <is>
          <t>#35</t>
        </is>
      </c>
      <c r="B45" s="5" t="inlineStr">
        <is>
          <t>Testar passo e cenários da aplicação</t>
        </is>
      </c>
      <c r="C45" s="5" t="inlineStr">
        <is>
          <t>QA exploratório</t>
        </is>
      </c>
      <c r="D45" s="5" t="inlineStr">
        <is>
          <t>Sistema inteiro</t>
        </is>
      </c>
      <c r="E45" s="5" t="inlineStr">
        <is>
          <t>Heloísa Fogaça</t>
        </is>
      </c>
      <c r="F45" s="5" t="inlineStr">
        <is>
          <t>heloisaFogaca</t>
        </is>
      </c>
      <c r="G45" s="6" t="n">
        <v>46317</v>
      </c>
      <c r="H45" s="5" t="inlineStr">
        <is>
          <t>#52</t>
        </is>
      </c>
      <c r="I45" s="5" t="inlineStr">
        <is>
          <t>A fazer</t>
        </is>
      </c>
      <c r="J45" s="5" t="inlineStr">
        <is>
          <t>Issue já existente</t>
        </is>
      </c>
      <c r="K45" s="5" t="inlineStr">
        <is>
          <t>• Link do documento de passos e onboarding colado nesta issue
• Lista de cenários do documento escrita nesta issue
• Passos do documento e do onboarding da aplicação seguidos na versão publicada, com o resultado de cada cenário anotado
• Tour guiado conferido contra `docs/Tour_Guiado.md` nas telas que têm tour
• Uma issue Bug por problema encontrado, com vídeo
• Evidência (link, print ou vídeo) anexada na issue</t>
        </is>
      </c>
    </row>
    <row r="46" ht="147" customHeight="1">
      <c r="A46" s="4" t="inlineStr">
        <is>
          <t>#51</t>
        </is>
      </c>
      <c r="B46" s="5" t="inlineStr">
        <is>
          <t>chore(web): remove every simulated data source from production</t>
        </is>
      </c>
      <c r="C46" s="5" t="inlineStr">
        <is>
          <t>Desenvolvimento</t>
        </is>
      </c>
      <c r="D46" s="5" t="inlineStr">
        <is>
          <t>Infraestrutura e API</t>
        </is>
      </c>
      <c r="E46" s="5" t="inlineStr">
        <is>
          <t>Priscila Torres</t>
        </is>
      </c>
      <c r="F46" s="5" t="inlineStr">
        <is>
          <t>PrieTorres</t>
        </is>
      </c>
      <c r="G46" s="6" t="n">
        <v>46317</v>
      </c>
      <c r="H46" s="5" t="inlineStr">
        <is>
          <t>#40, #42, #44, #45, #46, #48, #49, #50, #82</t>
        </is>
      </c>
      <c r="I46" s="5" t="inlineStr">
        <is>
          <t>A fazer</t>
        </is>
      </c>
      <c r="J46" s="5" t="inlineStr">
        <is>
          <t>Plano da N2</t>
        </is>
      </c>
      <c r="K46" s="5" t="inlineStr">
        <is>
          <t>• Seed fora do build: `seedIfEmpty` sai do `main.tsx` e a pasta `lib/seed` deixa de existir
• `DemoDataControls` fora do build, junto com o uso em `AppLayout.tsx` e o spec `demo-data.cy.ts`
• Adaptador `localStorage` fora do build: a fábrica só monta repositórios HTTP, e `createLocal*Repository`, `collection.ts` e `createLocalAuthProvider` não são importados por nenhum código de produção
• Nenhuma referência a `teacher-demo` no código de produção
• `apps/web/dist` não contém `teacher-demo`, `seeded-at`, `Dados de demonstração`, `demo-sheets` nem `prova-exemplo`
• App funciona só com banco: sem sessão vai para o login; com o banco vazio, as telas mostram o estado vazio; o que é criado num navegador aparece em outro
• O tour continua lembrando o que já foi visto (`lib/tour/seen.ts` intacto)
• Nenhum spec Cypress depende de dado semeado, e a suíte inteira passa
• `sonar-project.properties` sem `**/seed/**`, com as mesmas exclusões de cobertura do `vite.config.ts`
• Testes automatizados do caso principal: a fábrica só devolve repositórios HTTP, e um spec Cypress confirma que o menu não tem mais "Dados de demonstração" e que o primeiro acesso mostra o estado vazio
• Vídeo do teste anexado no PR</t>
        </is>
      </c>
    </row>
    <row r="47" ht="108" customHeight="1">
      <c r="A47" s="4" t="inlineStr">
        <is>
          <t>#52</t>
        </is>
      </c>
      <c r="B47" s="5" t="inlineStr">
        <is>
          <t>chore: republish with backend and cut release 2.0.0</t>
        </is>
      </c>
      <c r="C47" s="5" t="inlineStr">
        <is>
          <t>Entrega</t>
        </is>
      </c>
      <c r="D47" s="5" t="inlineStr">
        <is>
          <t>Infraestrutura e API</t>
        </is>
      </c>
      <c r="E47" s="5" t="inlineStr">
        <is>
          <t>Priscila Torres</t>
        </is>
      </c>
      <c r="F47" s="5" t="inlineStr">
        <is>
          <t>PrieTorres</t>
        </is>
      </c>
      <c r="G47" s="6" t="n">
        <v>46317</v>
      </c>
      <c r="H47" s="5" t="inlineStr">
        <is>
          <t>#31, #32, #36, #38, #39, #40, #41, #42, #43, #44, #45, #46, #47, #48, #49, #50, #51, #77, #78, #82, #71</t>
        </is>
      </c>
      <c r="I47" s="5" t="inlineStr">
        <is>
          <t>A fazer</t>
        </is>
      </c>
      <c r="J47" s="5" t="inlineStr">
        <is>
          <t>Plano da N2</t>
        </is>
      </c>
      <c r="K47" s="5" t="inlineStr">
        <is>
          <t>• Front publicado apontando para a API: um dado criado num navegador aparece em outro
• O sistema publicado não mostra "Dados de demonstração" nem aviso de fase simulada, e `GET /health` responde 200
• Nenhum PR aberto da N2, fora o desta issue
• Tag e release 2.0.0, criadas pelo workflow "Release do dia" a partir da `main`
• `package.json` da raiz, de `apps/web` e de `apps/api` em 2.0.0
• `docs/Versionamento.md` atualizado (manifestos e estado atual)
• Zip sem `node_modules` nem `.env`, gerado da tag e conferido
• Evidência (link, print ou vídeo) anexada na issue</t>
        </is>
      </c>
    </row>
    <row r="48" ht="134" customHeight="1">
      <c r="A48" s="4" t="inlineStr">
        <is>
          <t>#55</t>
        </is>
      </c>
      <c r="B48" s="5" t="inlineStr">
        <is>
          <t>test(e2e): Cypress coverage for access and public lookup against the API</t>
        </is>
      </c>
      <c r="C48" s="5" t="inlineStr">
        <is>
          <t>Teste automatizado</t>
        </is>
      </c>
      <c r="D48" s="5" t="inlineStr">
        <is>
          <t>Acesso e consulta pública</t>
        </is>
      </c>
      <c r="E48" s="5" t="inlineStr">
        <is>
          <t>Heloísa Fogaça</t>
        </is>
      </c>
      <c r="F48" s="5" t="inlineStr">
        <is>
          <t>heloisaFogaca</t>
        </is>
      </c>
      <c r="G48" s="6" t="n">
        <v>46317</v>
      </c>
      <c r="H48" s="5" t="inlineStr">
        <is>
          <t>#40, #49, #54, #39</t>
        </is>
      </c>
      <c r="I48" s="5" t="inlineStr">
        <is>
          <t>A fazer</t>
        </is>
      </c>
      <c r="J48" s="5" t="inlineStr">
        <is>
          <t>Plano da N2</t>
        </is>
      </c>
      <c r="K48" s="5" t="inlineStr">
        <is>
          <t>• Specs de login, cadastro, recuperar senha, consulta por QR e privacidade cobrindo fluxo feliz, erro e estado vazio
• Os quatro estados da consulta pública, o "QR inválido" e o código de PDF regenerado cobertos
• Redirecionamento sem sessão e bloqueio de login cobertos
• Cada teste cria os próprios dados pela API, sem depender de dado de demonstração
• Comando de login reutilizável em `cypress/support/commands.ts`
• Seletores por nome acessível, nunca por tag ou índice
• Telas de acesso e a consulta incluídas no `responsive.cy.ts`
• Suíte inteira verde no CI
• Testes automatizados do caso principal
• Vídeo do teste anexado no PR</t>
        </is>
      </c>
    </row>
    <row r="49" ht="69" customHeight="1">
      <c r="A49" s="4" t="inlineStr">
        <is>
          <t>#60</t>
        </is>
      </c>
      <c r="B49" s="5" t="inlineStr">
        <is>
          <t>review: code review of the classes and applications pull requests</t>
        </is>
      </c>
      <c r="C49" s="5" t="inlineStr">
        <is>
          <t>Code review</t>
        </is>
      </c>
      <c r="D49" s="5" t="inlineStr">
        <is>
          <t>Turmas e aplicações</t>
        </is>
      </c>
      <c r="E49" s="5" t="inlineStr">
        <is>
          <t>Heloísa Fogaça</t>
        </is>
      </c>
      <c r="F49" s="5" t="inlineStr">
        <is>
          <t>heloisaFogaca</t>
        </is>
      </c>
      <c r="G49" s="6" t="n">
        <v>46317</v>
      </c>
      <c r="H49" s="5" t="inlineStr">
        <is>
          <t>#41, #42, #46, #82</t>
        </is>
      </c>
      <c r="I49" s="5" t="inlineStr">
        <is>
          <t>A fazer</t>
        </is>
      </c>
      <c r="J49" s="5" t="inlineStr">
        <is>
          <t>Plano da N2</t>
        </is>
      </c>
      <c r="K49" s="5" t="inlineStr">
        <is>
          <t>• Revisar e aprovar ou pedir mudanças nos PRs de classes and applications: #41, #42, #46 e #82
• Conferir em cada PR de API os pontos do passo 2, e os pontos específicos do passo 3
• Conferir o vídeo do teste contra o checklist da issue
• Prints das revisões no diário
• Evidência (link, print ou vídeo) anexada na issue</t>
        </is>
      </c>
    </row>
    <row r="50" ht="95" customHeight="1">
      <c r="A50" s="4" t="inlineStr">
        <is>
          <t>#66</t>
        </is>
      </c>
      <c r="B50" s="5" t="inlineStr">
        <is>
          <t>qa: exploratory test of grading, dashboard and reports on the real database</t>
        </is>
      </c>
      <c r="C50" s="5" t="inlineStr">
        <is>
          <t>QA exploratório</t>
        </is>
      </c>
      <c r="D50" s="5" t="inlineStr">
        <is>
          <t>Correção, painel e relatórios</t>
        </is>
      </c>
      <c r="E50" s="5" t="inlineStr">
        <is>
          <t>Cleberson Maia</t>
        </is>
      </c>
      <c r="F50" s="5" t="inlineStr">
        <is>
          <t>maia202</t>
        </is>
      </c>
      <c r="G50" s="6" t="n">
        <v>46317</v>
      </c>
      <c r="H50" s="5" t="inlineStr">
        <is>
          <t>#47, #48, #50, #77, #78</t>
        </is>
      </c>
      <c r="I50" s="5" t="inlineStr">
        <is>
          <t>A fazer</t>
        </is>
      </c>
      <c r="J50" s="5" t="inlineStr">
        <is>
          <t>Plano da N2</t>
        </is>
      </c>
      <c r="K50" s="5" t="inlineStr">
        <is>
          <t>• Testar criar/listar/editar/excluir e casos de borda (correção, revisão, pendentes, painel, relatórios, perfil), seguindo o roteiro acima
• Testar com fotos de folhas impressas de verdade e com um arquivo inválido
• Testar com dois professores: um nunca vê aplicação, correção, imagem ou relatório do outro
• Abrir uma issue Bug por problema, com vídeo
• Conferir que nada some ao editar e que não há dado simulado
• Retestar os bugs corrigidos
• Evidência (link, print ou vídeo) anexada na issue</t>
        </is>
      </c>
    </row>
    <row r="51" ht="95" customHeight="1">
      <c r="A51" s="4" t="inlineStr">
        <is>
          <t>#67</t>
        </is>
      </c>
      <c r="B51" s="5" t="inlineStr">
        <is>
          <t>test(e2e): Cypress coverage for grading, dashboard and reports against the API</t>
        </is>
      </c>
      <c r="C51" s="5" t="inlineStr">
        <is>
          <t>Teste automatizado</t>
        </is>
      </c>
      <c r="D51" s="5" t="inlineStr">
        <is>
          <t>Correção, painel e relatórios</t>
        </is>
      </c>
      <c r="E51" s="5" t="inlineStr">
        <is>
          <t>Fabricio da Silva</t>
        </is>
      </c>
      <c r="F51" s="5" t="inlineStr">
        <is>
          <t>fabriciojrr</t>
        </is>
      </c>
      <c r="G51" s="6" t="n">
        <v>46317</v>
      </c>
      <c r="H51" s="5" t="inlineStr">
        <is>
          <t>#66, #47, #48, #50, #77, #39</t>
        </is>
      </c>
      <c r="I51" s="5" t="inlineStr">
        <is>
          <t>A fazer</t>
        </is>
      </c>
      <c r="J51" s="5" t="inlineStr">
        <is>
          <t>Plano da N2</t>
        </is>
      </c>
      <c r="K51" s="5" t="inlineStr">
        <is>
          <t>• Specs de correção, revisão, pendentes, painel, relatórios e perfil cobrindo fluxo feliz, erro e estado vazio, contra a API e o banco
• Cada spec cria os próprios dados pela API e não depende da ordem de execução
• Seletores por nome acessível, nunca por tag ou índice, inclusive nos testes que já existem em `grading.cy.ts`
• Um professor não abre a aplicação, a correção nem o relatório de outro
• Suíte inteira verde no CI, com a API e o banco de teste no job do Cypress
• Testes automatizados do caso principal
• Vídeo do teste anexado no PR</t>
        </is>
      </c>
    </row>
    <row r="52" ht="69" customHeight="1">
      <c r="A52" s="4" t="inlineStr">
        <is>
          <t>#68</t>
        </is>
      </c>
      <c r="B52" s="5" t="inlineStr">
        <is>
          <t>review: code review of the grading, dashboard and reports pull requests</t>
        </is>
      </c>
      <c r="C52" s="5" t="inlineStr">
        <is>
          <t>Code review</t>
        </is>
      </c>
      <c r="D52" s="5" t="inlineStr">
        <is>
          <t>Correção, painel e relatórios</t>
        </is>
      </c>
      <c r="E52" s="5" t="inlineStr">
        <is>
          <t>Cleberson Maia</t>
        </is>
      </c>
      <c r="F52" s="5" t="inlineStr">
        <is>
          <t>maia202</t>
        </is>
      </c>
      <c r="G52" s="6" t="n">
        <v>46317</v>
      </c>
      <c r="H52" s="5" t="inlineStr">
        <is>
          <t>#47, #48, #50, #77, #78</t>
        </is>
      </c>
      <c r="I52" s="5" t="inlineStr">
        <is>
          <t>A fazer</t>
        </is>
      </c>
      <c r="J52" s="5" t="inlineStr">
        <is>
          <t>Plano da N2</t>
        </is>
      </c>
      <c r="K52" s="5" t="inlineStr">
        <is>
          <t>• Revisar e aprovar ou pedir mudanças nos PRs de grading, dashboard and reports (#47, #48, #50, #77 e #78), com comentário no código e não só aprovação
• Conferir o vídeo do teste contra o checklist da issue
• Conferir em cada PR o modelo de dados, o isolamento entre professores e os testes do comportamento novo
• Prints das revisões no diário
• Evidência (link, print ou vídeo) anexada na issue</t>
        </is>
      </c>
    </row>
    <row r="53" ht="95" customHeight="1">
      <c r="A53" s="4" t="inlineStr">
        <is>
          <t>#79</t>
        </is>
      </c>
      <c r="B53" s="5" t="inlineStr">
        <is>
          <t>docs: screen captures with captions in README section 4</t>
        </is>
      </c>
      <c r="C53" s="5" t="inlineStr">
        <is>
          <t>Documentação</t>
        </is>
      </c>
      <c r="D53" s="5" t="inlineStr">
        <is>
          <t>Documentação</t>
        </is>
      </c>
      <c r="E53" s="5" t="inlineStr">
        <is>
          <t>Jeliel Nunes</t>
        </is>
      </c>
      <c r="F53" s="5" t="inlineStr">
        <is>
          <t>Jeliell</t>
        </is>
      </c>
      <c r="G53" s="6" t="n">
        <v>46317</v>
      </c>
      <c r="H53" s="5" t="inlineStr">
        <is>
          <t>#40, #42, #44, #45, #46, #48, #49, #50, #51</t>
        </is>
      </c>
      <c r="I53" s="5" t="inlineStr">
        <is>
          <t>A fazer</t>
        </is>
      </c>
      <c r="J53" s="5" t="inlineStr">
        <is>
          <t>Feedback da N1</t>
        </is>
      </c>
      <c r="K53" s="5" t="inlineStr">
        <is>
          <t>• Um print por tela principal, na ordem do fluxo de navegação (a tela A leva à tela B)
• Prints tirados da versão hospedada da N2, já com dados do banco
• Nenhum print com dado de demonstração, botões "Aplicar"/"Limpar" ou dado de aluno real
• Arquivos em `docs/screens/` (a pasta `docs/telas/` do modelo da disciplina), com nome em inglês (ex.: `sign-in.png`)
• Legenda de uma linha embaixo de cada print, dizendo o que a tela faz
• Seção "Telas do Sistema" do README usando os prints
• Evidência (link, print ou vídeo) anexada na issue</t>
        </is>
      </c>
    </row>
    <row r="54" ht="69" customHeight="1">
      <c r="A54" s="4" t="inlineStr">
        <is>
          <t>#80</t>
        </is>
      </c>
      <c r="B54" s="5" t="inlineStr">
        <is>
          <t>docs: team roles and contributions in README section 14</t>
        </is>
      </c>
      <c r="C54" s="5" t="inlineStr">
        <is>
          <t>Documentação</t>
        </is>
      </c>
      <c r="D54" s="5" t="inlineStr">
        <is>
          <t>Documentação</t>
        </is>
      </c>
      <c r="E54" s="5" t="inlineStr">
        <is>
          <t>Fabricio da Silva</t>
        </is>
      </c>
      <c r="F54" s="5" t="inlineStr">
        <is>
          <t>fabriciojrr</t>
        </is>
      </c>
      <c r="G54" s="6" t="n">
        <v>46317</v>
      </c>
      <c r="H54" s="5" t="inlineStr">
        <is>
          <t>#71</t>
        </is>
      </c>
      <c r="I54" s="5" t="inlineStr">
        <is>
          <t>A fazer</t>
        </is>
      </c>
      <c r="J54" s="5" t="inlineStr">
        <is>
          <t>Feedback da N1</t>
        </is>
      </c>
      <c r="K54" s="5" t="inlineStr">
        <is>
          <t>• Tabela "Equipe" com o papel e as principais frentes de cada integrante
• Seção 14 com as contribuições de cada integrante, separando N1 e N2
• Links para os principais PRs de cada um
• Texto de cada integrante conferido por ele, com um comentário de cada um no PR
• Evidência (link, print ou vídeo) anexada na issue</t>
        </is>
      </c>
    </row>
    <row r="55" ht="82" customHeight="1">
      <c r="A55" s="4" t="inlineStr">
        <is>
          <t>#81</t>
        </is>
      </c>
      <c r="B55" s="5" t="inlineStr">
        <is>
          <t>review: code review of teammates' pull requests</t>
        </is>
      </c>
      <c r="C55" s="5" t="inlineStr">
        <is>
          <t>Code review</t>
        </is>
      </c>
      <c r="D55" s="5" t="inlineStr">
        <is>
          <t>Processo e escopo</t>
        </is>
      </c>
      <c r="E55" s="5" t="inlineStr">
        <is>
          <t>Priscila Torres</t>
        </is>
      </c>
      <c r="F55" s="5" t="inlineStr">
        <is>
          <t>PrieTorres</t>
        </is>
      </c>
      <c r="G55" s="6" t="n">
        <v>46317</v>
      </c>
      <c r="H55" s="5" t="inlineStr">
        <is>
          <t>—</t>
        </is>
      </c>
      <c r="I55" s="5" t="inlineStr">
        <is>
          <t>A fazer</t>
        </is>
      </c>
      <c r="J55" s="5" t="inlineStr">
        <is>
          <t>Feedback da N1</t>
        </is>
      </c>
      <c r="K55" s="5" t="inlineStr">
        <is>
          <t>• PR #23 revisado até 13/10: aprovado e mergeado, ou fechado com o motivo
• PR #24 revisado até 13/10: aprovado e mergeado, ou fechado com o motivo (está em conflito com a `main`)
• PR #30 revisado até 13/10 (diagrama de caso de uso, #26)
• Revisão com comentário em cada PR dos colegas na N2 (Cypress e docs), e não só aprovação
• Prints das revisões no diário
• Evidência (link, print ou vídeo) anexada na issue</t>
        </is>
      </c>
    </row>
    <row r="56" ht="147" customHeight="1">
      <c r="A56" s="4" t="inlineStr">
        <is>
          <t>#82</t>
        </is>
      </c>
      <c r="B56" s="5" t="inlineStr">
        <is>
          <t>feat: export reports as Excel, CSV and PDF (RF36)</t>
        </is>
      </c>
      <c r="C56" s="5" t="inlineStr">
        <is>
          <t>Desenvolvimento</t>
        </is>
      </c>
      <c r="D56" s="5" t="inlineStr">
        <is>
          <t>Correção, painel e relatórios</t>
        </is>
      </c>
      <c r="E56" s="5" t="inlineStr">
        <is>
          <t>Jeliel Nunes</t>
        </is>
      </c>
      <c r="F56" s="5" t="inlineStr">
        <is>
          <t>Jeliell</t>
        </is>
      </c>
      <c r="G56" s="6" t="n">
        <v>46317</v>
      </c>
      <c r="H56" s="5" t="inlineStr">
        <is>
          <t>#47, #69, #50</t>
        </is>
      </c>
      <c r="I56" s="5" t="inlineStr">
        <is>
          <t>A fazer</t>
        </is>
      </c>
      <c r="J56" s="5" t="inlineStr">
        <is>
          <t>Mock da N1 a remover (RF36)</t>
        </is>
      </c>
      <c r="K56" s="5" t="inlineStr">
        <is>
          <t>• O botão "Exportar" gera um arquivo de verdade: o `setTimeout` de `ApplicationReportPage.tsx` sai
• Relatório por aplicação e relatório consolidado exportam em Excel (.xlsx), CSV e PDF (RF36)
• Uma linha por aluno, com nome, matrícula, versão, nota por questão e total, usando as colunas validadas na #69
• A nota de cada questão cai na coluna da questão da prova, qualquer que seja a versão do aluno
• O consolidado sai com uma linha por aplicação, com as mesmas colunas da tela
• A exportação roda em segundo plano, sem travar a tela (RF41): a tela confirma o início em menos de 1 segundo
• Quando o arquivo fica pronto, o professor é avisado e baixa o arquivo (RF41)
• O CSV e o .xlsx abrem no Excel com acentos corretos, e célula começando com `=` não vira fórmula
• Exportar relatório de aplicação de outro professor responde 404
• Testes automatizados do caso principal: unitário da montagem das linhas (questão na coluna certa entre versões, folha sem aluno, escape do CSV), supertest das rotas, e Cypress do clique até o download
• Vídeo do teste anexado no PR</t>
        </is>
      </c>
    </row>
    <row r="57" ht="82" customHeight="1">
      <c r="A57" s="4" t="inlineStr">
        <is>
          <t>#72</t>
        </is>
      </c>
      <c r="B57" s="5" t="inlineStr">
        <is>
          <t>docs: N2 logbook — Priscila</t>
        </is>
      </c>
      <c r="C57" s="5" t="inlineStr">
        <is>
          <t>Documentação</t>
        </is>
      </c>
      <c r="D57" s="5" t="inlineStr">
        <is>
          <t>Documentação</t>
        </is>
      </c>
      <c r="E57" s="5" t="inlineStr">
        <is>
          <t>Priscila Torres</t>
        </is>
      </c>
      <c r="F57" s="5" t="inlineStr">
        <is>
          <t>PrieTorres</t>
        </is>
      </c>
      <c r="G57" s="6" t="n">
        <v>46318</v>
      </c>
      <c r="H57" s="5" t="inlineStr">
        <is>
          <t>#52</t>
        </is>
      </c>
      <c r="I57" s="5" t="inlineStr">
        <is>
          <t>A fazer</t>
        </is>
      </c>
      <c r="J57" s="5" t="inlineStr">
        <is>
          <t>Plano da N2</t>
        </is>
      </c>
      <c r="K57" s="5" t="inlineStr">
        <is>
          <t>• Separar o que foi feito na N1 e na N2
• Uma entrada por tarefa da N2, com issue e PR
• Prints de commits, PRs aprovados/mergeados e reprovações
• Prints de revisões, bugs e sugestões abertos
• Comprovação no sistema hospedado
• Evidência (link, print ou vídeo) anexada na issue</t>
        </is>
      </c>
    </row>
    <row r="58" ht="82" customHeight="1">
      <c r="A58" s="4" t="inlineStr">
        <is>
          <t>#73</t>
        </is>
      </c>
      <c r="B58" s="5" t="inlineStr">
        <is>
          <t>docs: N2 logbook — Heloísa</t>
        </is>
      </c>
      <c r="C58" s="5" t="inlineStr">
        <is>
          <t>Documentação</t>
        </is>
      </c>
      <c r="D58" s="5" t="inlineStr">
        <is>
          <t>Documentação</t>
        </is>
      </c>
      <c r="E58" s="5" t="inlineStr">
        <is>
          <t>Heloísa Fogaça</t>
        </is>
      </c>
      <c r="F58" s="5" t="inlineStr">
        <is>
          <t>heloisaFogaca</t>
        </is>
      </c>
      <c r="G58" s="6" t="n">
        <v>46318</v>
      </c>
      <c r="H58" s="5" t="inlineStr">
        <is>
          <t>#52</t>
        </is>
      </c>
      <c r="I58" s="5" t="inlineStr">
        <is>
          <t>A fazer</t>
        </is>
      </c>
      <c r="J58" s="5" t="inlineStr">
        <is>
          <t>Plano da N2</t>
        </is>
      </c>
      <c r="K58" s="5" t="inlineStr">
        <is>
          <t>• Separar o que foi feito na N1 e na N2
• Uma entrada por tarefa da N2, com issue e PR
• Prints de commits, PRs aprovados/mergeados e reprovações
• Prints de revisões, bugs e sugestões abertos
• Comprovação no sistema hospedado
• Evidência (link, print ou vídeo) anexada na issue</t>
        </is>
      </c>
    </row>
    <row r="59" ht="82" customHeight="1">
      <c r="A59" s="4" t="inlineStr">
        <is>
          <t>#74</t>
        </is>
      </c>
      <c r="B59" s="5" t="inlineStr">
        <is>
          <t>docs: N2 logbook — Jeliel</t>
        </is>
      </c>
      <c r="C59" s="5" t="inlineStr">
        <is>
          <t>Documentação</t>
        </is>
      </c>
      <c r="D59" s="5" t="inlineStr">
        <is>
          <t>Documentação</t>
        </is>
      </c>
      <c r="E59" s="5" t="inlineStr">
        <is>
          <t>Jeliel Nunes</t>
        </is>
      </c>
      <c r="F59" s="5" t="inlineStr">
        <is>
          <t>Jeliell</t>
        </is>
      </c>
      <c r="G59" s="6" t="n">
        <v>46318</v>
      </c>
      <c r="H59" s="5" t="inlineStr">
        <is>
          <t>#52</t>
        </is>
      </c>
      <c r="I59" s="5" t="inlineStr">
        <is>
          <t>A fazer</t>
        </is>
      </c>
      <c r="J59" s="5" t="inlineStr">
        <is>
          <t>Plano da N2</t>
        </is>
      </c>
      <c r="K59" s="5" t="inlineStr">
        <is>
          <t>• Separar o que foi feito na N1 e na N2
• Uma entrada por tarefa da N2, com issue e PR
• Prints de commits, PRs aprovados/mergeados e reprovações
• Prints de revisões, bugs e sugestões abertos
• Comprovação no sistema hospedado
• Evidência (link, print ou vídeo) anexada na issue</t>
        </is>
      </c>
    </row>
    <row r="60" ht="82" customHeight="1">
      <c r="A60" s="4" t="inlineStr">
        <is>
          <t>#75</t>
        </is>
      </c>
      <c r="B60" s="5" t="inlineStr">
        <is>
          <t>docs: N2 logbook — Cleberson</t>
        </is>
      </c>
      <c r="C60" s="5" t="inlineStr">
        <is>
          <t>Documentação</t>
        </is>
      </c>
      <c r="D60" s="5" t="inlineStr">
        <is>
          <t>Documentação</t>
        </is>
      </c>
      <c r="E60" s="5" t="inlineStr">
        <is>
          <t>Cleberson Maia</t>
        </is>
      </c>
      <c r="F60" s="5" t="inlineStr">
        <is>
          <t>maia202</t>
        </is>
      </c>
      <c r="G60" s="6" t="n">
        <v>46318</v>
      </c>
      <c r="H60" s="5" t="inlineStr">
        <is>
          <t>#52</t>
        </is>
      </c>
      <c r="I60" s="5" t="inlineStr">
        <is>
          <t>A fazer</t>
        </is>
      </c>
      <c r="J60" s="5" t="inlineStr">
        <is>
          <t>Plano da N2</t>
        </is>
      </c>
      <c r="K60" s="5" t="inlineStr">
        <is>
          <t>• Separar o que foi feito na N1 e na N2
• Uma entrada por tarefa da N2, com issue e PR
• Prints de commits, PRs aprovados/mergeados e reprovações
• Prints de revisões, bugs e sugestões abertos
• Comprovação no sistema hospedado
• Evidência (link, print ou vídeo) anexada na issue</t>
        </is>
      </c>
    </row>
    <row r="61" ht="82" customHeight="1">
      <c r="A61" s="4" t="inlineStr">
        <is>
          <t>#76</t>
        </is>
      </c>
      <c r="B61" s="5" t="inlineStr">
        <is>
          <t>docs: N2 logbook — Fabricio</t>
        </is>
      </c>
      <c r="C61" s="5" t="inlineStr">
        <is>
          <t>Documentação</t>
        </is>
      </c>
      <c r="D61" s="5" t="inlineStr">
        <is>
          <t>Documentação</t>
        </is>
      </c>
      <c r="E61" s="5" t="inlineStr">
        <is>
          <t>Fabricio da Silva</t>
        </is>
      </c>
      <c r="F61" s="5" t="inlineStr">
        <is>
          <t>fabriciojrr</t>
        </is>
      </c>
      <c r="G61" s="6" t="n">
        <v>46318</v>
      </c>
      <c r="H61" s="5" t="inlineStr">
        <is>
          <t>#52</t>
        </is>
      </c>
      <c r="I61" s="5" t="inlineStr">
        <is>
          <t>A fazer</t>
        </is>
      </c>
      <c r="J61" s="5" t="inlineStr">
        <is>
          <t>Plano da N2</t>
        </is>
      </c>
      <c r="K61" s="5" t="inlineStr">
        <is>
          <t>• Separar o que foi feito na N1 e na N2
• Uma entrada por tarefa da N2, com issue e PR
• Prints de commits, PRs aprovados/mergeados e reprovações
• Prints de revisões, bugs e sugestões abertos
• Comprovação no sistema hospedado
• Evidência (link, print ou vídeo) anexada na issue</t>
        </is>
      </c>
    </row>
  </sheetData>
  <autoFilter ref="A4:K61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5" customWidth="1" min="4" max="4"/>
    <col width="12" customWidth="1" min="5" max="5"/>
    <col width="12" customWidth="1" min="6" max="6"/>
    <col width="11" customWidth="1" min="7" max="7"/>
    <col width="8" customWidth="1" min="8" max="8"/>
    <col width="14" customWidth="1" min="9" max="9"/>
    <col width="9" customWidth="1" min="10" max="10"/>
    <col width="12" customWidth="1" min="11" max="11"/>
    <col width="12" customWidth="1" min="12" max="12"/>
    <col width="44" customWidth="1" min="13" max="13"/>
    <col width="30" customWidth="1" min="14" max="14"/>
  </cols>
  <sheetData>
    <row r="1">
      <c r="A1" s="1" t="inlineStr">
        <is>
          <t>Distribuição entre os integrantes</t>
        </is>
      </c>
    </row>
    <row r="2">
      <c r="A2" s="2" t="inlineStr">
        <is>
          <t>Contagens calculadas a partir da aba Backlog: mudar o responsável lá atualiza esta aba.</t>
        </is>
      </c>
    </row>
    <row r="4" ht="30" customHeight="1">
      <c r="A4" s="3" t="inlineStr">
        <is>
          <t>Integrante</t>
        </is>
      </c>
      <c r="B4" s="3" t="inlineStr">
        <is>
          <t>GitHub</t>
        </is>
      </c>
      <c r="C4" s="3" t="inlineStr">
        <is>
          <t>Total</t>
        </is>
      </c>
      <c r="D4" s="3" t="inlineStr">
        <is>
          <t>Desenvolvimento</t>
        </is>
      </c>
      <c r="E4" s="3" t="inlineStr">
        <is>
          <t>Teste automatizado</t>
        </is>
      </c>
      <c r="F4" s="3" t="inlineStr">
        <is>
          <t>QA exploratório</t>
        </is>
      </c>
      <c r="G4" s="3" t="inlineStr">
        <is>
          <t>Code review</t>
        </is>
      </c>
      <c r="H4" s="3" t="inlineStr">
        <is>
          <t>UX</t>
        </is>
      </c>
      <c r="I4" s="3" t="inlineStr">
        <is>
          <t>Documentação</t>
        </is>
      </c>
      <c r="J4" s="3" t="inlineStr">
        <is>
          <t>Outras*</t>
        </is>
      </c>
      <c r="K4" s="3" t="inlineStr">
        <is>
          <t>Primeiro prazo</t>
        </is>
      </c>
      <c r="L4" s="3" t="inlineStr">
        <is>
          <t>Último prazo</t>
        </is>
      </c>
      <c r="M4" s="3" t="inlineStr">
        <is>
          <t>Desenvolve</t>
        </is>
      </c>
      <c r="N4" s="3" t="inlineStr">
        <is>
          <t>Revisa e testa (QA) os PRs de</t>
        </is>
      </c>
    </row>
    <row r="5" ht="30" customHeight="1">
      <c r="A5" s="5" t="inlineStr">
        <is>
          <t>Priscila Torres</t>
        </is>
      </c>
      <c r="B5" s="5" t="inlineStr">
        <is>
          <t>PrieTorres</t>
        </is>
      </c>
      <c r="C5" s="7">
        <f>COUNTIF(Backlog!$E$5:$E$61,$A5)</f>
        <v/>
      </c>
      <c r="D5" s="7">
        <f>COUNTIFS(Backlog!$E$5:$E$61,$A5,Backlog!$C$5:$C$61,D$4)</f>
        <v/>
      </c>
      <c r="E5" s="7">
        <f>COUNTIFS(Backlog!$E$5:$E$61,$A5,Backlog!$C$5:$C$61,E$4)</f>
        <v/>
      </c>
      <c r="F5" s="7">
        <f>COUNTIFS(Backlog!$E$5:$E$61,$A5,Backlog!$C$5:$C$61,F$4)</f>
        <v/>
      </c>
      <c r="G5" s="7">
        <f>COUNTIFS(Backlog!$E$5:$E$61,$A5,Backlog!$C$5:$C$61,G$4)</f>
        <v/>
      </c>
      <c r="H5" s="7">
        <f>COUNTIFS(Backlog!$E$5:$E$61,$A5,Backlog!$C$5:$C$61,H$4)</f>
        <v/>
      </c>
      <c r="I5" s="7">
        <f>COUNTIFS(Backlog!$E$5:$E$61,$A5,Backlog!$C$5:$C$61,I$4)</f>
        <v/>
      </c>
      <c r="J5" s="7">
        <f>C5-SUM(D5:I5)</f>
        <v/>
      </c>
      <c r="K5" s="6">
        <f>_xlfn.MINIFS(Backlog!$G$5:$G$61,Backlog!$E$5:$E$61,$A5)</f>
        <v/>
      </c>
      <c r="L5" s="6">
        <f>_xlfn.MAXIFS(Backlog!$G$5:$G$61,Backlog!$E$5:$E$61,$A5)</f>
        <v/>
      </c>
      <c r="M5" s="5" t="inlineStr">
        <is>
          <t>Infraestrutura, API base, banco, CI e deploy, leitura do QR, ADRs</t>
        </is>
      </c>
      <c r="N5" s="5" t="inlineStr">
        <is>
          <t>Todos os PRs (code owner)</t>
        </is>
      </c>
    </row>
    <row r="6" ht="30" customHeight="1">
      <c r="A6" s="5" t="inlineStr">
        <is>
          <t>Heloísa Fogaça</t>
        </is>
      </c>
      <c r="B6" s="5" t="inlineStr">
        <is>
          <t>heloisaFogaca</t>
        </is>
      </c>
      <c r="C6" s="7">
        <f>COUNTIF(Backlog!$E$5:$E$61,$A6)</f>
        <v/>
      </c>
      <c r="D6" s="7">
        <f>COUNTIFS(Backlog!$E$5:$E$61,$A6,Backlog!$C$5:$C$61,D$4)</f>
        <v/>
      </c>
      <c r="E6" s="7">
        <f>COUNTIFS(Backlog!$E$5:$E$61,$A6,Backlog!$C$5:$C$61,E$4)</f>
        <v/>
      </c>
      <c r="F6" s="7">
        <f>COUNTIFS(Backlog!$E$5:$E$61,$A6,Backlog!$C$5:$C$61,F$4)</f>
        <v/>
      </c>
      <c r="G6" s="7">
        <f>COUNTIFS(Backlog!$E$5:$E$61,$A6,Backlog!$C$5:$C$61,G$4)</f>
        <v/>
      </c>
      <c r="H6" s="7">
        <f>COUNTIFS(Backlog!$E$5:$E$61,$A6,Backlog!$C$5:$C$61,H$4)</f>
        <v/>
      </c>
      <c r="I6" s="7">
        <f>COUNTIFS(Backlog!$E$5:$E$61,$A6,Backlog!$C$5:$C$61,I$4)</f>
        <v/>
      </c>
      <c r="J6" s="7">
        <f>C6-SUM(D6:I6)</f>
        <v/>
      </c>
      <c r="K6" s="6">
        <f>_xlfn.MINIFS(Backlog!$G$5:$G$61,Backlog!$E$5:$E$61,$A6)</f>
        <v/>
      </c>
      <c r="L6" s="6">
        <f>_xlfn.MAXIFS(Backlog!$G$5:$G$61,Backlog!$E$5:$E$61,$A6)</f>
        <v/>
      </c>
      <c r="M6" s="5" t="inlineStr">
        <is>
          <t>Acesso (login, cadastro, senha) e consulta pública por QR</t>
        </is>
      </c>
      <c r="N6" s="5" t="inlineStr">
        <is>
          <t>Turmas e aplicações</t>
        </is>
      </c>
    </row>
    <row r="7" ht="30" customHeight="1">
      <c r="A7" s="5" t="inlineStr">
        <is>
          <t>Jeliel Nunes</t>
        </is>
      </c>
      <c r="B7" s="5" t="inlineStr">
        <is>
          <t>Jeliell</t>
        </is>
      </c>
      <c r="C7" s="7">
        <f>COUNTIF(Backlog!$E$5:$E$61,$A7)</f>
        <v/>
      </c>
      <c r="D7" s="7">
        <f>COUNTIFS(Backlog!$E$5:$E$61,$A7,Backlog!$C$5:$C$61,D$4)</f>
        <v/>
      </c>
      <c r="E7" s="7">
        <f>COUNTIFS(Backlog!$E$5:$E$61,$A7,Backlog!$C$5:$C$61,E$4)</f>
        <v/>
      </c>
      <c r="F7" s="7">
        <f>COUNTIFS(Backlog!$E$5:$E$61,$A7,Backlog!$C$5:$C$61,F$4)</f>
        <v/>
      </c>
      <c r="G7" s="7">
        <f>COUNTIFS(Backlog!$E$5:$E$61,$A7,Backlog!$C$5:$C$61,G$4)</f>
        <v/>
      </c>
      <c r="H7" s="7">
        <f>COUNTIFS(Backlog!$E$5:$E$61,$A7,Backlog!$C$5:$C$61,H$4)</f>
        <v/>
      </c>
      <c r="I7" s="7">
        <f>COUNTIFS(Backlog!$E$5:$E$61,$A7,Backlog!$C$5:$C$61,I$4)</f>
        <v/>
      </c>
      <c r="J7" s="7">
        <f>C7-SUM(D7:I7)</f>
        <v/>
      </c>
      <c r="K7" s="6">
        <f>_xlfn.MINIFS(Backlog!$G$5:$G$61,Backlog!$E$5:$E$61,$A7)</f>
        <v/>
      </c>
      <c r="L7" s="6">
        <f>_xlfn.MAXIFS(Backlog!$G$5:$G$61,Backlog!$E$5:$E$61,$A7)</f>
        <v/>
      </c>
      <c r="M7" s="5" t="inlineStr">
        <is>
          <t>Turmas, aplicações e PDF, exportação de relatórios</t>
        </is>
      </c>
      <c r="N7" s="5" t="inlineStr">
        <is>
          <t>Banco de questões e provas</t>
        </is>
      </c>
    </row>
    <row r="8" ht="30" customHeight="1">
      <c r="A8" s="5" t="inlineStr">
        <is>
          <t>Cleberson Maia</t>
        </is>
      </c>
      <c r="B8" s="5" t="inlineStr">
        <is>
          <t>maia202</t>
        </is>
      </c>
      <c r="C8" s="7">
        <f>COUNTIF(Backlog!$E$5:$E$61,$A8)</f>
        <v/>
      </c>
      <c r="D8" s="7">
        <f>COUNTIFS(Backlog!$E$5:$E$61,$A8,Backlog!$C$5:$C$61,D$4)</f>
        <v/>
      </c>
      <c r="E8" s="7">
        <f>COUNTIFS(Backlog!$E$5:$E$61,$A8,Backlog!$C$5:$C$61,E$4)</f>
        <v/>
      </c>
      <c r="F8" s="7">
        <f>COUNTIFS(Backlog!$E$5:$E$61,$A8,Backlog!$C$5:$C$61,F$4)</f>
        <v/>
      </c>
      <c r="G8" s="7">
        <f>COUNTIFS(Backlog!$E$5:$E$61,$A8,Backlog!$C$5:$C$61,G$4)</f>
        <v/>
      </c>
      <c r="H8" s="7">
        <f>COUNTIFS(Backlog!$E$5:$E$61,$A8,Backlog!$C$5:$C$61,H$4)</f>
        <v/>
      </c>
      <c r="I8" s="7">
        <f>COUNTIFS(Backlog!$E$5:$E$61,$A8,Backlog!$C$5:$C$61,I$4)</f>
        <v/>
      </c>
      <c r="J8" s="7">
        <f>C8-SUM(D8:I8)</f>
        <v/>
      </c>
      <c r="K8" s="6">
        <f>_xlfn.MINIFS(Backlog!$G$5:$G$61,Backlog!$E$5:$E$61,$A8)</f>
        <v/>
      </c>
      <c r="L8" s="6">
        <f>_xlfn.MAXIFS(Backlog!$G$5:$G$61,Backlog!$E$5:$E$61,$A8)</f>
        <v/>
      </c>
      <c r="M8" s="5" t="inlineStr">
        <is>
          <t>Banco de questões e provas</t>
        </is>
      </c>
      <c r="N8" s="5" t="inlineStr">
        <is>
          <t>Correção, painel e relatórios</t>
        </is>
      </c>
    </row>
    <row r="9" ht="30" customHeight="1">
      <c r="A9" s="5" t="inlineStr">
        <is>
          <t>Fabricio da Silva</t>
        </is>
      </c>
      <c r="B9" s="5" t="inlineStr">
        <is>
          <t>fabriciojrr</t>
        </is>
      </c>
      <c r="C9" s="7">
        <f>COUNTIF(Backlog!$E$5:$E$61,$A9)</f>
        <v/>
      </c>
      <c r="D9" s="7">
        <f>COUNTIFS(Backlog!$E$5:$E$61,$A9,Backlog!$C$5:$C$61,D$4)</f>
        <v/>
      </c>
      <c r="E9" s="7">
        <f>COUNTIFS(Backlog!$E$5:$E$61,$A9,Backlog!$C$5:$C$61,E$4)</f>
        <v/>
      </c>
      <c r="F9" s="7">
        <f>COUNTIFS(Backlog!$E$5:$E$61,$A9,Backlog!$C$5:$C$61,F$4)</f>
        <v/>
      </c>
      <c r="G9" s="7">
        <f>COUNTIFS(Backlog!$E$5:$E$61,$A9,Backlog!$C$5:$C$61,G$4)</f>
        <v/>
      </c>
      <c r="H9" s="7">
        <f>COUNTIFS(Backlog!$E$5:$E$61,$A9,Backlog!$C$5:$C$61,H$4)</f>
        <v/>
      </c>
      <c r="I9" s="7">
        <f>COUNTIFS(Backlog!$E$5:$E$61,$A9,Backlog!$C$5:$C$61,I$4)</f>
        <v/>
      </c>
      <c r="J9" s="7">
        <f>C9-SUM(D9:I9)</f>
        <v/>
      </c>
      <c r="K9" s="6">
        <f>_xlfn.MINIFS(Backlog!$G$5:$G$61,Backlog!$E$5:$E$61,$A9)</f>
        <v/>
      </c>
      <c r="L9" s="6">
        <f>_xlfn.MAXIFS(Backlog!$G$5:$G$61,Backlog!$E$5:$E$61,$A9)</f>
        <v/>
      </c>
      <c r="M9" s="5" t="inlineStr">
        <is>
          <t>Correção, painel e relatórios</t>
        </is>
      </c>
      <c r="N9" s="5" t="inlineStr">
        <is>
          <t>Acesso e consulta pública</t>
        </is>
      </c>
    </row>
    <row r="10">
      <c r="A10" s="8" t="inlineStr">
        <is>
          <t>Total</t>
        </is>
      </c>
      <c r="B10" s="8" t="n"/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9">
        <f>SUM(G5:G9)</f>
        <v/>
      </c>
      <c r="H10" s="9">
        <f>SUM(H5:H9)</f>
        <v/>
      </c>
      <c r="I10" s="9">
        <f>SUM(I5:I9)</f>
        <v/>
      </c>
      <c r="J10" s="9">
        <f>SUM(J5:J9)</f>
        <v/>
      </c>
      <c r="K10" s="9" t="n"/>
      <c r="L10" s="9" t="n"/>
      <c r="M10" s="9" t="n"/>
      <c r="N10" s="9" t="n"/>
    </row>
    <row r="12">
      <c r="A12" s="10" t="inlineStr">
        <is>
          <t>Conferência</t>
        </is>
      </c>
    </row>
    <row r="13">
      <c r="A13" s="11" t="inlineStr">
        <is>
          <t>Todos os integrantes têm pelo menos uma tarefa?</t>
        </is>
      </c>
      <c r="G13" s="12">
        <f>IF(COUNTIF(C5:C9,0)=0,"Sim","Não")</f>
        <v/>
      </c>
    </row>
    <row r="14">
      <c r="A14" s="11" t="inlineStr">
        <is>
          <t>Tarefas no backlog (aba Backlog)</t>
        </is>
      </c>
      <c r="G14" s="12">
        <f>COUNTA(Backlog!$A$5:$A$61)</f>
        <v/>
      </c>
    </row>
    <row r="15">
      <c r="A15" s="11" t="inlineStr">
        <is>
          <t>Total distribuído confere com o backlog?</t>
        </is>
      </c>
      <c r="G15" s="12">
        <f>IF(C10=COUNTA(Backlog!$A$5:$A$61),"Sim","Não")</f>
        <v/>
      </c>
    </row>
    <row r="16">
      <c r="A16" s="11" t="inlineStr">
        <is>
          <t>Média de tarefas por integrante</t>
        </is>
      </c>
      <c r="G16" s="13">
        <f>AVERAGE(C5:C9)</f>
        <v/>
      </c>
    </row>
    <row r="17">
      <c r="A17" s="11" t="inlineStr">
        <is>
          <t>Diferença entre a maior e a menor carga</t>
        </is>
      </c>
      <c r="G17" s="12">
        <f>MAX(C5:C9)-MIN(C5:C9)</f>
        <v/>
      </c>
    </row>
    <row r="19">
      <c r="A19" s="2" t="inlineStr">
        <is>
          <t>* Outras: validação de escopo, processo, infraestrutura e entrega.</t>
        </is>
      </c>
    </row>
    <row r="20">
      <c r="A20" s="2" t="inlineStr">
        <is>
          <t>A Priscila tem duas tarefas a mais porque, como PM e única code owner, revisa todos os PRs e conduz o planejamento.</t>
        </is>
      </c>
    </row>
    <row r="21">
      <c r="A21" s="2" t="inlineStr">
        <is>
          <t>Revisão e QA exploratório rodam em ciclo: ninguém revisa nem testa o próprio código.</t>
        </is>
      </c>
    </row>
  </sheetData>
  <mergeCells count="5">
    <mergeCell ref="A16:F16"/>
    <mergeCell ref="A13:F13"/>
    <mergeCell ref="A14:F14"/>
    <mergeCell ref="A17:F1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Tarefas por semana</t>
        </is>
      </c>
    </row>
    <row r="2">
      <c r="A2" s="2" t="inlineStr">
        <is>
          <t>Quantas tarefas de cada integrante vencem em cada janela. As datas em amarelo podem ser ajustadas.</t>
        </is>
      </c>
    </row>
    <row r="4" ht="30" customHeight="1">
      <c r="A4" s="3" t="inlineStr">
        <is>
          <t>Janela</t>
        </is>
      </c>
      <c r="B4" s="3" t="inlineStr">
        <is>
          <t>Semana 1</t>
        </is>
      </c>
      <c r="C4" s="3" t="inlineStr">
        <is>
          <t>Semana 2</t>
        </is>
      </c>
      <c r="D4" s="3" t="inlineStr">
        <is>
          <t>Semana 3</t>
        </is>
      </c>
      <c r="E4" s="3" t="inlineStr">
        <is>
          <t>Reta final</t>
        </is>
      </c>
      <c r="F4" s="3" t="inlineStr">
        <is>
          <t>Depois da entrega</t>
        </is>
      </c>
      <c r="G4" s="3" t="inlineStr">
        <is>
          <t>Total</t>
        </is>
      </c>
    </row>
    <row r="5">
      <c r="A5" s="14" t="inlineStr">
        <is>
          <t>De</t>
        </is>
      </c>
      <c r="B5" s="15" t="n">
        <v>46304</v>
      </c>
      <c r="C5" s="15" t="n">
        <v>46308</v>
      </c>
      <c r="D5" s="15" t="n">
        <v>46312</v>
      </c>
      <c r="E5" s="15" t="n">
        <v>46316</v>
      </c>
      <c r="F5" s="15" t="n">
        <v>46319</v>
      </c>
    </row>
    <row r="6">
      <c r="A6" s="14" t="inlineStr">
        <is>
          <t>Até</t>
        </is>
      </c>
      <c r="B6" s="15" t="n">
        <v>46307</v>
      </c>
      <c r="C6" s="15" t="n">
        <v>46311</v>
      </c>
      <c r="D6" s="15" t="n">
        <v>46315</v>
      </c>
      <c r="E6" s="15" t="n">
        <v>46318</v>
      </c>
      <c r="F6" s="15" t="n">
        <v>46387</v>
      </c>
    </row>
    <row r="7">
      <c r="A7" s="5" t="inlineStr">
        <is>
          <t>Priscila Torres</t>
        </is>
      </c>
      <c r="B7" s="7">
        <f>COUNTIFS(Backlog!$E$5:$E$61,$A7,Backlog!$G$5:$G$61,"&gt;="&amp;B$5,Backlog!$G$5:$G$61,"&lt;="&amp;B$6)</f>
        <v/>
      </c>
      <c r="C7" s="7">
        <f>COUNTIFS(Backlog!$E$5:$E$61,$A7,Backlog!$G$5:$G$61,"&gt;="&amp;C$5,Backlog!$G$5:$G$61,"&lt;="&amp;C$6)</f>
        <v/>
      </c>
      <c r="D7" s="7">
        <f>COUNTIFS(Backlog!$E$5:$E$61,$A7,Backlog!$G$5:$G$61,"&gt;="&amp;D$5,Backlog!$G$5:$G$61,"&lt;="&amp;D$6)</f>
        <v/>
      </c>
      <c r="E7" s="7">
        <f>COUNTIFS(Backlog!$E$5:$E$61,$A7,Backlog!$G$5:$G$61,"&gt;="&amp;E$5,Backlog!$G$5:$G$61,"&lt;="&amp;E$6)</f>
        <v/>
      </c>
      <c r="F7" s="7">
        <f>COUNTIFS(Backlog!$E$5:$E$61,$A7,Backlog!$G$5:$G$61,"&gt;="&amp;F$5,Backlog!$G$5:$G$61,"&lt;="&amp;F$6)</f>
        <v/>
      </c>
      <c r="G7" s="7">
        <f>SUM(B7:F7)</f>
        <v/>
      </c>
    </row>
    <row r="8">
      <c r="A8" s="5" t="inlineStr">
        <is>
          <t>Heloísa Fogaça</t>
        </is>
      </c>
      <c r="B8" s="7">
        <f>COUNTIFS(Backlog!$E$5:$E$61,$A8,Backlog!$G$5:$G$61,"&gt;="&amp;B$5,Backlog!$G$5:$G$61,"&lt;="&amp;B$6)</f>
        <v/>
      </c>
      <c r="C8" s="7">
        <f>COUNTIFS(Backlog!$E$5:$E$61,$A8,Backlog!$G$5:$G$61,"&gt;="&amp;C$5,Backlog!$G$5:$G$61,"&lt;="&amp;C$6)</f>
        <v/>
      </c>
      <c r="D8" s="7">
        <f>COUNTIFS(Backlog!$E$5:$E$61,$A8,Backlog!$G$5:$G$61,"&gt;="&amp;D$5,Backlog!$G$5:$G$61,"&lt;="&amp;D$6)</f>
        <v/>
      </c>
      <c r="E8" s="7">
        <f>COUNTIFS(Backlog!$E$5:$E$61,$A8,Backlog!$G$5:$G$61,"&gt;="&amp;E$5,Backlog!$G$5:$G$61,"&lt;="&amp;E$6)</f>
        <v/>
      </c>
      <c r="F8" s="7">
        <f>COUNTIFS(Backlog!$E$5:$E$61,$A8,Backlog!$G$5:$G$61,"&gt;="&amp;F$5,Backlog!$G$5:$G$61,"&lt;="&amp;F$6)</f>
        <v/>
      </c>
      <c r="G8" s="7">
        <f>SUM(B8:F8)</f>
        <v/>
      </c>
    </row>
    <row r="9">
      <c r="A9" s="5" t="inlineStr">
        <is>
          <t>Jeliel Nunes</t>
        </is>
      </c>
      <c r="B9" s="7">
        <f>COUNTIFS(Backlog!$E$5:$E$61,$A9,Backlog!$G$5:$G$61,"&gt;="&amp;B$5,Backlog!$G$5:$G$61,"&lt;="&amp;B$6)</f>
        <v/>
      </c>
      <c r="C9" s="7">
        <f>COUNTIFS(Backlog!$E$5:$E$61,$A9,Backlog!$G$5:$G$61,"&gt;="&amp;C$5,Backlog!$G$5:$G$61,"&lt;="&amp;C$6)</f>
        <v/>
      </c>
      <c r="D9" s="7">
        <f>COUNTIFS(Backlog!$E$5:$E$61,$A9,Backlog!$G$5:$G$61,"&gt;="&amp;D$5,Backlog!$G$5:$G$61,"&lt;="&amp;D$6)</f>
        <v/>
      </c>
      <c r="E9" s="7">
        <f>COUNTIFS(Backlog!$E$5:$E$61,$A9,Backlog!$G$5:$G$61,"&gt;="&amp;E$5,Backlog!$G$5:$G$61,"&lt;="&amp;E$6)</f>
        <v/>
      </c>
      <c r="F9" s="7">
        <f>COUNTIFS(Backlog!$E$5:$E$61,$A9,Backlog!$G$5:$G$61,"&gt;="&amp;F$5,Backlog!$G$5:$G$61,"&lt;="&amp;F$6)</f>
        <v/>
      </c>
      <c r="G9" s="7">
        <f>SUM(B9:F9)</f>
        <v/>
      </c>
    </row>
    <row r="10">
      <c r="A10" s="5" t="inlineStr">
        <is>
          <t>Cleberson Maia</t>
        </is>
      </c>
      <c r="B10" s="7">
        <f>COUNTIFS(Backlog!$E$5:$E$61,$A10,Backlog!$G$5:$G$61,"&gt;="&amp;B$5,Backlog!$G$5:$G$61,"&lt;="&amp;B$6)</f>
        <v/>
      </c>
      <c r="C10" s="7">
        <f>COUNTIFS(Backlog!$E$5:$E$61,$A10,Backlog!$G$5:$G$61,"&gt;="&amp;C$5,Backlog!$G$5:$G$61,"&lt;="&amp;C$6)</f>
        <v/>
      </c>
      <c r="D10" s="7">
        <f>COUNTIFS(Backlog!$E$5:$E$61,$A10,Backlog!$G$5:$G$61,"&gt;="&amp;D$5,Backlog!$G$5:$G$61,"&lt;="&amp;D$6)</f>
        <v/>
      </c>
      <c r="E10" s="7">
        <f>COUNTIFS(Backlog!$E$5:$E$61,$A10,Backlog!$G$5:$G$61,"&gt;="&amp;E$5,Backlog!$G$5:$G$61,"&lt;="&amp;E$6)</f>
        <v/>
      </c>
      <c r="F10" s="7">
        <f>COUNTIFS(Backlog!$E$5:$E$61,$A10,Backlog!$G$5:$G$61,"&gt;="&amp;F$5,Backlog!$G$5:$G$61,"&lt;="&amp;F$6)</f>
        <v/>
      </c>
      <c r="G10" s="7">
        <f>SUM(B10:F10)</f>
        <v/>
      </c>
    </row>
    <row r="11">
      <c r="A11" s="5" t="inlineStr">
        <is>
          <t>Fabricio da Silva</t>
        </is>
      </c>
      <c r="B11" s="7">
        <f>COUNTIFS(Backlog!$E$5:$E$61,$A11,Backlog!$G$5:$G$61,"&gt;="&amp;B$5,Backlog!$G$5:$G$61,"&lt;="&amp;B$6)</f>
        <v/>
      </c>
      <c r="C11" s="7">
        <f>COUNTIFS(Backlog!$E$5:$E$61,$A11,Backlog!$G$5:$G$61,"&gt;="&amp;C$5,Backlog!$G$5:$G$61,"&lt;="&amp;C$6)</f>
        <v/>
      </c>
      <c r="D11" s="7">
        <f>COUNTIFS(Backlog!$E$5:$E$61,$A11,Backlog!$G$5:$G$61,"&gt;="&amp;D$5,Backlog!$G$5:$G$61,"&lt;="&amp;D$6)</f>
        <v/>
      </c>
      <c r="E11" s="7">
        <f>COUNTIFS(Backlog!$E$5:$E$61,$A11,Backlog!$G$5:$G$61,"&gt;="&amp;E$5,Backlog!$G$5:$G$61,"&lt;="&amp;E$6)</f>
        <v/>
      </c>
      <c r="F11" s="7">
        <f>COUNTIFS(Backlog!$E$5:$E$61,$A11,Backlog!$G$5:$G$61,"&gt;="&amp;F$5,Backlog!$G$5:$G$61,"&lt;="&amp;F$6)</f>
        <v/>
      </c>
      <c r="G11" s="7">
        <f>SUM(B11:F11)</f>
        <v/>
      </c>
    </row>
    <row r="12">
      <c r="A12" s="8" t="inlineStr">
        <is>
          <t>Total</t>
        </is>
      </c>
      <c r="B12" s="9">
        <f>SUM(B7:B11)</f>
        <v/>
      </c>
      <c r="C12" s="9">
        <f>SUM(C7:C11)</f>
        <v/>
      </c>
      <c r="D12" s="9">
        <f>SUM(D7:D11)</f>
        <v/>
      </c>
      <c r="E12" s="9">
        <f>SUM(E7:E11)</f>
        <v/>
      </c>
      <c r="F12" s="9">
        <f>SUM(F7:F11)</f>
        <v/>
      </c>
      <c r="G12" s="9">
        <f>SUM(G7:G11)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Como o backlog funciona</t>
        </is>
      </c>
    </row>
    <row r="2">
      <c r="A2" s="2" t="inlineStr">
        <is>
          <t>Retrato de 09/10/2026. O estado atual de cada tarefa fica no GitHub Project 4.</t>
        </is>
      </c>
    </row>
    <row r="4" ht="44" customHeight="1">
      <c r="A4" s="16" t="inlineStr">
        <is>
          <t>Uma tarefa por issue</t>
        </is>
      </c>
      <c r="B4" s="17" t="inlineStr">
        <is>
          <t>Cada linha do Backlog é uma issue do GitHub, no milestone N2, com responsável, prazo (campo Target date do Project) e checklist de aceite.</t>
        </is>
      </c>
    </row>
    <row r="5" ht="44" customHeight="1">
      <c r="A5" s="16" t="inlineStr">
        <is>
          <t>Quando uma tarefa está pronta</t>
        </is>
      </c>
      <c r="B5" s="17" t="inlineStr">
        <is>
          <t>Quando o PR com "Closes #N" é aprovado pela PM e mergeado: checklist da issue todo marcado, checklist do PR marcado e vídeo do teste anexado. Documentação, infraestrutura, processo, QA, UX e validação de escopo dispensam o vídeo.</t>
        </is>
      </c>
    </row>
    <row r="6" ht="44" customHeight="1">
      <c r="A6" s="16" t="inlineStr">
        <is>
          <t>Quem conclui</t>
        </is>
      </c>
      <c r="B6" s="17" t="inlineStr">
        <is>
          <t>Só a PM conclui tarefas. Uma issue fechada por outra pessoa é reaberta automaticamente, a menos que tenha sido fechada pelo merge de um PR.</t>
        </is>
      </c>
    </row>
    <row r="7" ht="44" customHeight="1">
      <c r="A7" s="16" t="inlineStr">
        <is>
          <t>Proteção da main</t>
        </is>
      </c>
      <c r="B7" s="17" t="inlineStr">
        <is>
          <t>Merge só por PR, com aprovação da code owner e os checks Lint, tipos, testes e build; Cypress; SonarCloud; e Issue, checklist and video.</t>
        </is>
      </c>
    </row>
    <row r="8" ht="44" customHeight="1">
      <c r="A8" s="16" t="inlineStr">
        <is>
          <t>Distribuição</t>
        </is>
      </c>
      <c r="B8" s="17" t="inlineStr">
        <is>
          <t>Cada integrante desenvolve uma frente do sistema e revisa e testa a frente de outro colega, em ciclo. A PM revisa todos os PRs.</t>
        </is>
      </c>
    </row>
    <row r="9" ht="44" customHeight="1">
      <c r="A9" s="16" t="inlineStr">
        <is>
          <t>Origem</t>
        </is>
      </c>
      <c r="B9" s="17" t="inlineStr">
        <is>
          <t>Plano da N2 (integração com o MySQL), Feedback da N1, pendências e mocks apontados no README, modelo de documentação da disciplina e issues que já existiam antes do plano.</t>
        </is>
      </c>
    </row>
    <row r="10" ht="30" customHeight="1">
      <c r="A10" s="16" t="inlineStr">
        <is>
          <t>Board</t>
        </is>
      </c>
      <c r="B10" s="18" t="inlineStr">
        <is>
          <t>https://github.com/users/PrieTorres/projects/4</t>
        </is>
      </c>
    </row>
  </sheetData>
  <hyperlinks>
    <hyperlink xmlns:r="http://schemas.openxmlformats.org/officeDocument/2006/relationships" ref="B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2026-10-10T01:33:04Z</dcterms:created>
  <dcterms:modified xsi:type="dcterms:W3CDTF">2026-10-10T01:33:04Z</dcterms:modified>
</cp:coreProperties>
</file>